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:\Documents\ING2\Semestre 2\Série temporelle\projet_serie_temp\tendance prevision\"/>
    </mc:Choice>
  </mc:AlternateContent>
  <xr:revisionPtr revIDLastSave="0" documentId="13_ncr:1_{B80C8877-EFFA-49AA-A27A-430402E1475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4" sheetId="4" r:id="rId1"/>
    <sheet name="dataset" sheetId="1" r:id="rId2"/>
    <sheet name="moyenne mobile" sheetId="5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5" l="1"/>
  <c r="J8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C139" i="5"/>
  <c r="D139" i="5" s="1"/>
  <c r="C138" i="5"/>
  <c r="D138" i="5" s="1"/>
  <c r="C137" i="5"/>
  <c r="D137" i="5" s="1"/>
  <c r="C136" i="5"/>
  <c r="D136" i="5" s="1"/>
  <c r="C135" i="5"/>
  <c r="D135" i="5" s="1"/>
  <c r="C134" i="5"/>
  <c r="D134" i="5" s="1"/>
  <c r="C133" i="5"/>
  <c r="D133" i="5" s="1"/>
  <c r="C132" i="5"/>
  <c r="D132" i="5" s="1"/>
  <c r="C131" i="5"/>
  <c r="D131" i="5" s="1"/>
  <c r="C130" i="5"/>
  <c r="D130" i="5" s="1"/>
  <c r="C129" i="5"/>
  <c r="D129" i="5" s="1"/>
  <c r="C128" i="5"/>
  <c r="D128" i="5" s="1"/>
  <c r="C127" i="5"/>
  <c r="D127" i="5" s="1"/>
  <c r="C126" i="5"/>
  <c r="D126" i="5" s="1"/>
  <c r="C125" i="5"/>
  <c r="D125" i="5" s="1"/>
  <c r="C124" i="5"/>
  <c r="D124" i="5" s="1"/>
  <c r="C123" i="5"/>
  <c r="D123" i="5" s="1"/>
  <c r="C122" i="5"/>
  <c r="D122" i="5" s="1"/>
  <c r="C121" i="5"/>
  <c r="D121" i="5" s="1"/>
  <c r="C120" i="5"/>
  <c r="D120" i="5" s="1"/>
  <c r="C119" i="5"/>
  <c r="D119" i="5" s="1"/>
  <c r="C118" i="5"/>
  <c r="D118" i="5" s="1"/>
  <c r="C117" i="5"/>
  <c r="D117" i="5" s="1"/>
  <c r="C116" i="5"/>
  <c r="D116" i="5" s="1"/>
  <c r="C115" i="5"/>
  <c r="D115" i="5" s="1"/>
  <c r="C114" i="5"/>
  <c r="D114" i="5" s="1"/>
  <c r="C113" i="5"/>
  <c r="D113" i="5" s="1"/>
  <c r="C112" i="5"/>
  <c r="D112" i="5" s="1"/>
  <c r="C111" i="5"/>
  <c r="D111" i="5" s="1"/>
  <c r="C110" i="5"/>
  <c r="D110" i="5" s="1"/>
  <c r="C109" i="5"/>
  <c r="D109" i="5" s="1"/>
  <c r="C108" i="5"/>
  <c r="D108" i="5" s="1"/>
  <c r="C107" i="5"/>
  <c r="D107" i="5" s="1"/>
  <c r="C106" i="5"/>
  <c r="D106" i="5" s="1"/>
  <c r="C105" i="5"/>
  <c r="D105" i="5" s="1"/>
  <c r="C104" i="5"/>
  <c r="D104" i="5" s="1"/>
  <c r="C103" i="5"/>
  <c r="D103" i="5" s="1"/>
  <c r="C102" i="5"/>
  <c r="D102" i="5" s="1"/>
  <c r="C101" i="5"/>
  <c r="D101" i="5" s="1"/>
  <c r="C100" i="5"/>
  <c r="D100" i="5" s="1"/>
  <c r="C99" i="5"/>
  <c r="D99" i="5" s="1"/>
  <c r="C98" i="5"/>
  <c r="D98" i="5" s="1"/>
  <c r="C97" i="5"/>
  <c r="D97" i="5" s="1"/>
  <c r="C96" i="5"/>
  <c r="D96" i="5" s="1"/>
  <c r="C95" i="5"/>
  <c r="D95" i="5" s="1"/>
  <c r="C94" i="5"/>
  <c r="D94" i="5" s="1"/>
  <c r="C93" i="5"/>
  <c r="D93" i="5" s="1"/>
  <c r="C92" i="5"/>
  <c r="D92" i="5" s="1"/>
  <c r="C91" i="5"/>
  <c r="D91" i="5" s="1"/>
  <c r="C90" i="5"/>
  <c r="D90" i="5" s="1"/>
  <c r="C89" i="5"/>
  <c r="D89" i="5" s="1"/>
  <c r="C88" i="5"/>
  <c r="D88" i="5" s="1"/>
  <c r="C87" i="5"/>
  <c r="D87" i="5" s="1"/>
  <c r="C86" i="5"/>
  <c r="D86" i="5" s="1"/>
  <c r="C85" i="5"/>
  <c r="D85" i="5" s="1"/>
  <c r="C84" i="5"/>
  <c r="D84" i="5" s="1"/>
  <c r="C83" i="5"/>
  <c r="D83" i="5" s="1"/>
  <c r="C82" i="5"/>
  <c r="D82" i="5" s="1"/>
  <c r="C81" i="5"/>
  <c r="D81" i="5" s="1"/>
  <c r="C80" i="5"/>
  <c r="D80" i="5" s="1"/>
  <c r="C79" i="5"/>
  <c r="D79" i="5" s="1"/>
  <c r="C78" i="5"/>
  <c r="D78" i="5" s="1"/>
  <c r="C77" i="5"/>
  <c r="D77" i="5" s="1"/>
  <c r="C76" i="5"/>
  <c r="D76" i="5" s="1"/>
  <c r="C75" i="5"/>
  <c r="D75" i="5" s="1"/>
  <c r="C74" i="5"/>
  <c r="D74" i="5" s="1"/>
  <c r="C73" i="5"/>
  <c r="D73" i="5" s="1"/>
  <c r="C72" i="5"/>
  <c r="D72" i="5" s="1"/>
  <c r="C71" i="5"/>
  <c r="D71" i="5" s="1"/>
  <c r="C70" i="5"/>
  <c r="D70" i="5" s="1"/>
  <c r="C69" i="5"/>
  <c r="D69" i="5" s="1"/>
  <c r="C68" i="5"/>
  <c r="D68" i="5" s="1"/>
  <c r="C67" i="5"/>
  <c r="D67" i="5" s="1"/>
  <c r="C66" i="5"/>
  <c r="D66" i="5" s="1"/>
  <c r="C65" i="5"/>
  <c r="D65" i="5" s="1"/>
  <c r="C64" i="5"/>
  <c r="D64" i="5" s="1"/>
  <c r="C63" i="5"/>
  <c r="D63" i="5" s="1"/>
  <c r="C62" i="5"/>
  <c r="D62" i="5" s="1"/>
  <c r="C61" i="5"/>
  <c r="D61" i="5" s="1"/>
  <c r="C60" i="5"/>
  <c r="D60" i="5" s="1"/>
  <c r="C59" i="5"/>
  <c r="D59" i="5" s="1"/>
  <c r="C58" i="5"/>
  <c r="D58" i="5" s="1"/>
  <c r="C57" i="5"/>
  <c r="D57" i="5" s="1"/>
  <c r="C56" i="5"/>
  <c r="D56" i="5" s="1"/>
  <c r="C55" i="5"/>
  <c r="D55" i="5" s="1"/>
  <c r="C54" i="5"/>
  <c r="D54" i="5" s="1"/>
  <c r="C53" i="5"/>
  <c r="D53" i="5" s="1"/>
  <c r="C52" i="5"/>
  <c r="D52" i="5" s="1"/>
  <c r="C51" i="5"/>
  <c r="D51" i="5" s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5" i="5"/>
  <c r="D15" i="5" s="1"/>
  <c r="C14" i="5"/>
  <c r="D14" i="5" s="1"/>
  <c r="C13" i="5"/>
  <c r="D13" i="5" s="1"/>
  <c r="C12" i="5"/>
  <c r="D12" i="5" s="1"/>
  <c r="C11" i="5"/>
  <c r="D11" i="5" s="1"/>
  <c r="C10" i="5"/>
  <c r="D10" i="5" s="1"/>
  <c r="C9" i="5"/>
  <c r="D9" i="5" s="1"/>
  <c r="C8" i="5"/>
  <c r="D8" i="5" s="1"/>
  <c r="F13" i="5" l="1"/>
  <c r="F14" i="5"/>
  <c r="F18" i="5"/>
  <c r="F19" i="5"/>
  <c r="F17" i="5"/>
  <c r="F8" i="5"/>
  <c r="F12" i="5"/>
  <c r="F11" i="5"/>
  <c r="F9" i="5"/>
  <c r="F10" i="5"/>
  <c r="F16" i="5"/>
  <c r="F15" i="5"/>
  <c r="F20" i="5" l="1"/>
</calcChain>
</file>

<file path=xl/sharedStrings.xml><?xml version="1.0" encoding="utf-8"?>
<sst xmlns="http://schemas.openxmlformats.org/spreadsheetml/2006/main" count="182" uniqueCount="49">
  <si>
    <t>Time</t>
  </si>
  <si>
    <t>Sum of station de ski</t>
  </si>
  <si>
    <t>Row Labels</t>
  </si>
  <si>
    <t>(blank)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</si>
  <si>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</si>
  <si>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</si>
  <si>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</si>
  <si>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</si>
  <si>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</si>
  <si>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</si>
  <si>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</si>
  <si>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</si>
  <si>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</si>
  <si>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</si>
  <si>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</si>
  <si>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</si>
  <si>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</si>
  <si>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</si>
  <si>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</si>
  <si>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</si>
  <si>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</si>
  <si>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</si>
  <si>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</si>
  <si>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</si>
  <si>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</si>
  <si>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</si>
  <si>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</si>
  <si>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</si>
  <si>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</si>
  <si>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Sum of Sum of station de ski</t>
  </si>
  <si>
    <t>&lt;01/01/2014</t>
  </si>
  <si>
    <t>Sum_of_station_de_ski</t>
  </si>
  <si>
    <t>coefficients saisonniers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</si>
  <si>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</si>
  <si>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</si>
  <si>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</si>
  <si>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</si>
  <si>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</si>
  <si>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</si>
  <si>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</si>
  <si>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</si>
  <si>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</si>
  <si>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 xml:space="preserve">Octobre </t>
  </si>
  <si>
    <t>Novembre</t>
  </si>
  <si>
    <t>Décembre</t>
  </si>
  <si>
    <t>month</t>
  </si>
  <si>
    <t>droite de regression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</si>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</sst>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[ski_dataset.xlsx]Sheet4!PivotTable3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Sheet4!$A$4:$A$162</c:f>
              <c:multiLvlStrCache>
                <c:ptCount val="145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  <c:pt idx="49">
                    <c:v>Jan</c:v>
                  </c:pt>
                  <c:pt idx="50">
                    <c:v>Feb</c:v>
                  </c:pt>
                  <c:pt idx="51">
                    <c:v>Mar</c:v>
                  </c:pt>
                  <c:pt idx="52">
                    <c:v>Apr</c:v>
                  </c:pt>
                  <c:pt idx="53">
                    <c:v>May</c:v>
                  </c:pt>
                  <c:pt idx="54">
                    <c:v>Jun</c:v>
                  </c:pt>
                  <c:pt idx="55">
                    <c:v>Jul</c:v>
                  </c:pt>
                  <c:pt idx="56">
                    <c:v>Aug</c:v>
                  </c:pt>
                  <c:pt idx="57">
                    <c:v>Sep</c:v>
                  </c:pt>
                  <c:pt idx="58">
                    <c:v>Oct</c:v>
                  </c:pt>
                  <c:pt idx="59">
                    <c:v>Nov</c:v>
                  </c:pt>
                  <c:pt idx="60">
                    <c:v>Dec</c:v>
                  </c:pt>
                  <c:pt idx="61">
                    <c:v>Jan</c:v>
                  </c:pt>
                  <c:pt idx="62">
                    <c:v>Feb</c:v>
                  </c:pt>
                  <c:pt idx="63">
                    <c:v>Mar</c:v>
                  </c:pt>
                  <c:pt idx="64">
                    <c:v>Apr</c:v>
                  </c:pt>
                  <c:pt idx="65">
                    <c:v>May</c:v>
                  </c:pt>
                  <c:pt idx="66">
                    <c:v>Jun</c:v>
                  </c:pt>
                  <c:pt idx="67">
                    <c:v>Jul</c:v>
                  </c:pt>
                  <c:pt idx="68">
                    <c:v>Aug</c:v>
                  </c:pt>
                  <c:pt idx="69">
                    <c:v>Sep</c:v>
                  </c:pt>
                  <c:pt idx="70">
                    <c:v>Oct</c:v>
                  </c:pt>
                  <c:pt idx="71">
                    <c:v>Nov</c:v>
                  </c:pt>
                  <c:pt idx="72">
                    <c:v>Dec</c:v>
                  </c:pt>
                  <c:pt idx="73">
                    <c:v>Jan</c:v>
                  </c:pt>
                  <c:pt idx="74">
                    <c:v>Feb</c:v>
                  </c:pt>
                  <c:pt idx="75">
                    <c:v>Mar</c:v>
                  </c:pt>
                  <c:pt idx="76">
                    <c:v>Apr</c:v>
                  </c:pt>
                  <c:pt idx="77">
                    <c:v>May</c:v>
                  </c:pt>
                  <c:pt idx="78">
                    <c:v>Jun</c:v>
                  </c:pt>
                  <c:pt idx="79">
                    <c:v>Jul</c:v>
                  </c:pt>
                  <c:pt idx="80">
                    <c:v>Aug</c:v>
                  </c:pt>
                  <c:pt idx="81">
                    <c:v>Sep</c:v>
                  </c:pt>
                  <c:pt idx="82">
                    <c:v>Oct</c:v>
                  </c:pt>
                  <c:pt idx="83">
                    <c:v>Nov</c:v>
                  </c:pt>
                  <c:pt idx="84">
                    <c:v>Dec</c:v>
                  </c:pt>
                  <c:pt idx="85">
                    <c:v>Jan</c:v>
                  </c:pt>
                  <c:pt idx="86">
                    <c:v>Feb</c:v>
                  </c:pt>
                  <c:pt idx="87">
                    <c:v>Mar</c:v>
                  </c:pt>
                  <c:pt idx="88">
                    <c:v>Apr</c:v>
                  </c:pt>
                  <c:pt idx="89">
                    <c:v>May</c:v>
                  </c:pt>
                  <c:pt idx="90">
                    <c:v>Jun</c:v>
                  </c:pt>
                  <c:pt idx="91">
                    <c:v>Jul</c:v>
                  </c:pt>
                  <c:pt idx="92">
                    <c:v>Aug</c:v>
                  </c:pt>
                  <c:pt idx="93">
                    <c:v>Sep</c:v>
                  </c:pt>
                  <c:pt idx="94">
                    <c:v>Oct</c:v>
                  </c:pt>
                  <c:pt idx="95">
                    <c:v>Nov</c:v>
                  </c:pt>
                  <c:pt idx="96">
                    <c:v>Dec</c:v>
                  </c:pt>
                  <c:pt idx="97">
                    <c:v>Jan</c:v>
                  </c:pt>
                  <c:pt idx="98">
                    <c:v>Feb</c:v>
                  </c:pt>
                  <c:pt idx="99">
                    <c:v>Mar</c:v>
                  </c:pt>
                  <c:pt idx="100">
                    <c:v>Apr</c:v>
                  </c:pt>
                  <c:pt idx="101">
                    <c:v>May</c:v>
                  </c:pt>
                  <c:pt idx="102">
                    <c:v>Jun</c:v>
                  </c:pt>
                  <c:pt idx="103">
                    <c:v>Jul</c:v>
                  </c:pt>
                  <c:pt idx="104">
                    <c:v>Aug</c:v>
                  </c:pt>
                  <c:pt idx="105">
                    <c:v>Sep</c:v>
                  </c:pt>
                  <c:pt idx="106">
                    <c:v>Oct</c:v>
                  </c:pt>
                  <c:pt idx="107">
                    <c:v>Nov</c:v>
                  </c:pt>
                  <c:pt idx="108">
                    <c:v>Dec</c:v>
                  </c:pt>
                  <c:pt idx="109">
                    <c:v>Jan</c:v>
                  </c:pt>
                  <c:pt idx="110">
                    <c:v>Feb</c:v>
                  </c:pt>
                  <c:pt idx="111">
                    <c:v>Mar</c:v>
                  </c:pt>
                  <c:pt idx="112">
                    <c:v>Apr</c:v>
                  </c:pt>
                  <c:pt idx="113">
                    <c:v>May</c:v>
                  </c:pt>
                  <c:pt idx="114">
                    <c:v>Jun</c:v>
                  </c:pt>
                  <c:pt idx="115">
                    <c:v>Jul</c:v>
                  </c:pt>
                  <c:pt idx="116">
                    <c:v>Aug</c:v>
                  </c:pt>
                  <c:pt idx="117">
                    <c:v>Sep</c:v>
                  </c:pt>
                  <c:pt idx="118">
                    <c:v>Oct</c:v>
                  </c:pt>
                  <c:pt idx="119">
                    <c:v>Nov</c:v>
                  </c:pt>
                  <c:pt idx="120">
                    <c:v>Dec</c:v>
                  </c:pt>
                  <c:pt idx="121">
                    <c:v>Jan</c:v>
                  </c:pt>
                  <c:pt idx="122">
                    <c:v>Feb</c:v>
                  </c:pt>
                  <c:pt idx="123">
                    <c:v>Mar</c:v>
                  </c:pt>
                  <c:pt idx="124">
                    <c:v>Apr</c:v>
                  </c:pt>
                  <c:pt idx="125">
                    <c:v>May</c:v>
                  </c:pt>
                  <c:pt idx="126">
                    <c:v>Jun</c:v>
                  </c:pt>
                  <c:pt idx="127">
                    <c:v>Jul</c:v>
                  </c:pt>
                  <c:pt idx="128">
                    <c:v>Aug</c:v>
                  </c:pt>
                  <c:pt idx="129">
                    <c:v>Sep</c:v>
                  </c:pt>
                  <c:pt idx="130">
                    <c:v>Oct</c:v>
                  </c:pt>
                  <c:pt idx="131">
                    <c:v>Nov</c:v>
                  </c:pt>
                  <c:pt idx="132">
                    <c:v>Dec</c:v>
                  </c:pt>
                  <c:pt idx="133">
                    <c:v>Jan</c:v>
                  </c:pt>
                  <c:pt idx="134">
                    <c:v>Feb</c:v>
                  </c:pt>
                  <c:pt idx="135">
                    <c:v>Mar</c:v>
                  </c:pt>
                  <c:pt idx="136">
                    <c:v>Apr</c:v>
                  </c:pt>
                  <c:pt idx="137">
                    <c:v>May</c:v>
                  </c:pt>
                  <c:pt idx="138">
                    <c:v>Jun</c:v>
                  </c:pt>
                  <c:pt idx="139">
                    <c:v>Jul</c:v>
                  </c:pt>
                  <c:pt idx="140">
                    <c:v>Aug</c:v>
                  </c:pt>
                  <c:pt idx="141">
                    <c:v>Sep</c:v>
                  </c:pt>
                  <c:pt idx="142">
                    <c:v>Oct</c:v>
                  </c:pt>
                  <c:pt idx="143">
                    <c:v>Nov</c:v>
                  </c:pt>
                  <c:pt idx="144">
                    <c:v>Dec</c:v>
                  </c:pt>
                </c:lvl>
                <c:lvl>
                  <c:pt idx="0">
                    <c:v>&lt;01/01/2014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  <c:pt idx="49">
                    <c:v>2018</c:v>
                  </c:pt>
                  <c:pt idx="61">
                    <c:v>2019</c:v>
                  </c:pt>
                  <c:pt idx="73">
                    <c:v>2020</c:v>
                  </c:pt>
                  <c:pt idx="85">
                    <c:v>2021</c:v>
                  </c:pt>
                  <c:pt idx="97">
                    <c:v>2022</c:v>
                  </c:pt>
                  <c:pt idx="109">
                    <c:v>2023</c:v>
                  </c:pt>
                  <c:pt idx="121">
                    <c:v>2024</c:v>
                  </c:pt>
                  <c:pt idx="133">
                    <c:v>2025</c:v>
                  </c:pt>
                </c:lvl>
              </c:multiLvlStrCache>
            </c:multiLvlStrRef>
          </c:cat>
          <c:val>
            <c:numRef>
              <c:f>Sheet4!$B$4:$B$162</c:f>
              <c:numCache>
                <c:formatCode>General</c:formatCode>
                <c:ptCount val="145"/>
                <c:pt idx="1">
                  <c:v>54</c:v>
                </c:pt>
                <c:pt idx="2">
                  <c:v>56</c:v>
                </c:pt>
                <c:pt idx="3">
                  <c:v>27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11</c:v>
                </c:pt>
                <c:pt idx="9">
                  <c:v>15</c:v>
                </c:pt>
                <c:pt idx="10">
                  <c:v>19</c:v>
                </c:pt>
                <c:pt idx="11">
                  <c:v>30</c:v>
                </c:pt>
                <c:pt idx="12">
                  <c:v>53</c:v>
                </c:pt>
                <c:pt idx="13">
                  <c:v>58</c:v>
                </c:pt>
                <c:pt idx="14">
                  <c:v>75</c:v>
                </c:pt>
                <c:pt idx="15">
                  <c:v>23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7</c:v>
                </c:pt>
                <c:pt idx="20">
                  <c:v>12</c:v>
                </c:pt>
                <c:pt idx="21">
                  <c:v>18</c:v>
                </c:pt>
                <c:pt idx="22">
                  <c:v>20</c:v>
                </c:pt>
                <c:pt idx="23">
                  <c:v>30</c:v>
                </c:pt>
                <c:pt idx="24">
                  <c:v>44</c:v>
                </c:pt>
                <c:pt idx="25">
                  <c:v>65</c:v>
                </c:pt>
                <c:pt idx="26">
                  <c:v>62</c:v>
                </c:pt>
                <c:pt idx="27">
                  <c:v>29</c:v>
                </c:pt>
                <c:pt idx="28">
                  <c:v>9</c:v>
                </c:pt>
                <c:pt idx="29">
                  <c:v>5</c:v>
                </c:pt>
                <c:pt idx="30">
                  <c:v>4</c:v>
                </c:pt>
                <c:pt idx="31">
                  <c:v>6</c:v>
                </c:pt>
                <c:pt idx="32">
                  <c:v>11</c:v>
                </c:pt>
                <c:pt idx="33">
                  <c:v>16</c:v>
                </c:pt>
                <c:pt idx="34">
                  <c:v>20</c:v>
                </c:pt>
                <c:pt idx="35">
                  <c:v>35</c:v>
                </c:pt>
                <c:pt idx="36">
                  <c:v>46</c:v>
                </c:pt>
                <c:pt idx="37">
                  <c:v>66</c:v>
                </c:pt>
                <c:pt idx="38">
                  <c:v>71</c:v>
                </c:pt>
                <c:pt idx="39">
                  <c:v>22</c:v>
                </c:pt>
                <c:pt idx="40">
                  <c:v>9</c:v>
                </c:pt>
                <c:pt idx="41">
                  <c:v>4</c:v>
                </c:pt>
                <c:pt idx="42">
                  <c:v>5</c:v>
                </c:pt>
                <c:pt idx="43">
                  <c:v>8</c:v>
                </c:pt>
                <c:pt idx="44">
                  <c:v>13</c:v>
                </c:pt>
                <c:pt idx="45">
                  <c:v>16</c:v>
                </c:pt>
                <c:pt idx="46">
                  <c:v>20</c:v>
                </c:pt>
                <c:pt idx="47">
                  <c:v>39</c:v>
                </c:pt>
                <c:pt idx="48">
                  <c:v>71</c:v>
                </c:pt>
                <c:pt idx="49">
                  <c:v>64</c:v>
                </c:pt>
                <c:pt idx="50">
                  <c:v>68</c:v>
                </c:pt>
                <c:pt idx="51">
                  <c:v>33</c:v>
                </c:pt>
                <c:pt idx="52">
                  <c:v>10</c:v>
                </c:pt>
                <c:pt idx="53">
                  <c:v>5</c:v>
                </c:pt>
                <c:pt idx="54">
                  <c:v>5</c:v>
                </c:pt>
                <c:pt idx="55">
                  <c:v>7</c:v>
                </c:pt>
                <c:pt idx="56">
                  <c:v>13</c:v>
                </c:pt>
                <c:pt idx="57">
                  <c:v>16</c:v>
                </c:pt>
                <c:pt idx="58">
                  <c:v>20</c:v>
                </c:pt>
                <c:pt idx="59">
                  <c:v>30</c:v>
                </c:pt>
                <c:pt idx="60">
                  <c:v>55</c:v>
                </c:pt>
                <c:pt idx="61">
                  <c:v>66</c:v>
                </c:pt>
                <c:pt idx="62">
                  <c:v>71</c:v>
                </c:pt>
                <c:pt idx="63">
                  <c:v>24</c:v>
                </c:pt>
                <c:pt idx="64">
                  <c:v>12</c:v>
                </c:pt>
                <c:pt idx="65">
                  <c:v>7</c:v>
                </c:pt>
                <c:pt idx="66">
                  <c:v>6</c:v>
                </c:pt>
                <c:pt idx="67">
                  <c:v>9</c:v>
                </c:pt>
                <c:pt idx="68">
                  <c:v>16</c:v>
                </c:pt>
                <c:pt idx="69">
                  <c:v>19</c:v>
                </c:pt>
                <c:pt idx="70">
                  <c:v>21</c:v>
                </c:pt>
                <c:pt idx="71">
                  <c:v>42</c:v>
                </c:pt>
                <c:pt idx="72">
                  <c:v>62</c:v>
                </c:pt>
                <c:pt idx="73">
                  <c:v>68</c:v>
                </c:pt>
                <c:pt idx="74">
                  <c:v>67</c:v>
                </c:pt>
                <c:pt idx="75">
                  <c:v>42</c:v>
                </c:pt>
                <c:pt idx="76">
                  <c:v>6</c:v>
                </c:pt>
                <c:pt idx="77">
                  <c:v>5</c:v>
                </c:pt>
                <c:pt idx="78">
                  <c:v>7</c:v>
                </c:pt>
                <c:pt idx="79">
                  <c:v>10</c:v>
                </c:pt>
                <c:pt idx="80">
                  <c:v>14</c:v>
                </c:pt>
                <c:pt idx="81">
                  <c:v>15</c:v>
                </c:pt>
                <c:pt idx="82">
                  <c:v>18</c:v>
                </c:pt>
                <c:pt idx="83">
                  <c:v>41</c:v>
                </c:pt>
                <c:pt idx="84">
                  <c:v>58</c:v>
                </c:pt>
                <c:pt idx="85">
                  <c:v>91</c:v>
                </c:pt>
                <c:pt idx="86">
                  <c:v>57</c:v>
                </c:pt>
                <c:pt idx="87">
                  <c:v>15</c:v>
                </c:pt>
                <c:pt idx="88">
                  <c:v>5</c:v>
                </c:pt>
                <c:pt idx="89">
                  <c:v>6</c:v>
                </c:pt>
                <c:pt idx="90">
                  <c:v>5</c:v>
                </c:pt>
                <c:pt idx="91">
                  <c:v>8</c:v>
                </c:pt>
                <c:pt idx="92">
                  <c:v>13</c:v>
                </c:pt>
                <c:pt idx="93">
                  <c:v>15</c:v>
                </c:pt>
                <c:pt idx="94">
                  <c:v>23</c:v>
                </c:pt>
                <c:pt idx="95">
                  <c:v>40</c:v>
                </c:pt>
                <c:pt idx="96">
                  <c:v>82</c:v>
                </c:pt>
                <c:pt idx="97">
                  <c:v>100</c:v>
                </c:pt>
                <c:pt idx="98">
                  <c:v>84</c:v>
                </c:pt>
                <c:pt idx="99">
                  <c:v>27</c:v>
                </c:pt>
                <c:pt idx="100">
                  <c:v>11</c:v>
                </c:pt>
                <c:pt idx="101">
                  <c:v>7</c:v>
                </c:pt>
                <c:pt idx="102">
                  <c:v>6</c:v>
                </c:pt>
                <c:pt idx="103">
                  <c:v>11</c:v>
                </c:pt>
                <c:pt idx="104">
                  <c:v>15</c:v>
                </c:pt>
                <c:pt idx="105">
                  <c:v>16</c:v>
                </c:pt>
                <c:pt idx="106">
                  <c:v>21</c:v>
                </c:pt>
                <c:pt idx="107">
                  <c:v>33</c:v>
                </c:pt>
                <c:pt idx="108">
                  <c:v>65</c:v>
                </c:pt>
                <c:pt idx="109">
                  <c:v>76</c:v>
                </c:pt>
                <c:pt idx="110">
                  <c:v>73</c:v>
                </c:pt>
                <c:pt idx="111">
                  <c:v>23</c:v>
                </c:pt>
                <c:pt idx="112">
                  <c:v>10</c:v>
                </c:pt>
                <c:pt idx="113">
                  <c:v>6</c:v>
                </c:pt>
                <c:pt idx="114">
                  <c:v>6</c:v>
                </c:pt>
                <c:pt idx="115">
                  <c:v>10</c:v>
                </c:pt>
                <c:pt idx="116">
                  <c:v>14</c:v>
                </c:pt>
                <c:pt idx="117">
                  <c:v>16</c:v>
                </c:pt>
                <c:pt idx="118">
                  <c:v>22</c:v>
                </c:pt>
                <c:pt idx="119">
                  <c:v>37</c:v>
                </c:pt>
                <c:pt idx="120">
                  <c:v>68</c:v>
                </c:pt>
                <c:pt idx="121">
                  <c:v>79</c:v>
                </c:pt>
                <c:pt idx="122">
                  <c:v>54</c:v>
                </c:pt>
                <c:pt idx="123">
                  <c:v>29</c:v>
                </c:pt>
                <c:pt idx="124">
                  <c:v>10</c:v>
                </c:pt>
                <c:pt idx="125">
                  <c:v>6</c:v>
                </c:pt>
                <c:pt idx="126">
                  <c:v>6</c:v>
                </c:pt>
                <c:pt idx="127">
                  <c:v>9</c:v>
                </c:pt>
                <c:pt idx="128">
                  <c:v>14</c:v>
                </c:pt>
                <c:pt idx="129">
                  <c:v>18</c:v>
                </c:pt>
                <c:pt idx="130">
                  <c:v>22</c:v>
                </c:pt>
                <c:pt idx="131">
                  <c:v>34</c:v>
                </c:pt>
                <c:pt idx="132">
                  <c:v>72</c:v>
                </c:pt>
                <c:pt idx="133">
                  <c:v>70</c:v>
                </c:pt>
                <c:pt idx="134">
                  <c:v>63</c:v>
                </c:pt>
                <c:pt idx="135">
                  <c:v>22</c:v>
                </c:pt>
                <c:pt idx="136">
                  <c:v>10</c:v>
                </c:pt>
                <c:pt idx="137">
                  <c:v>6</c:v>
                </c:pt>
                <c:pt idx="138">
                  <c:v>6</c:v>
                </c:pt>
                <c:pt idx="139">
                  <c:v>11</c:v>
                </c:pt>
                <c:pt idx="140">
                  <c:v>17</c:v>
                </c:pt>
                <c:pt idx="141">
                  <c:v>18</c:v>
                </c:pt>
                <c:pt idx="142">
                  <c:v>22</c:v>
                </c:pt>
                <c:pt idx="143">
                  <c:v>39</c:v>
                </c:pt>
                <c:pt idx="144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4-41CD-BB52-0D6427313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661407"/>
        <c:axId val="1077308575"/>
      </c:lineChart>
      <c:catAx>
        <c:axId val="13436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7308575"/>
        <c:crosses val="autoZero"/>
        <c:auto val="1"/>
        <c:lblAlgn val="ctr"/>
        <c:lblOffset val="100"/>
        <c:noMultiLvlLbl val="0"/>
      </c:catAx>
      <c:valAx>
        <c:axId val="107730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366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Décomposition additive</a:t>
            </a:r>
            <a:r>
              <a:rPr lang="fr-FR" baseline="0"/>
              <a:t> par moyenne mobile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'moyenne mobile'!$A$8:$A$139</c:f>
              <c:numCache>
                <c:formatCode>m/d/yyyy</c:formatCode>
                <c:ptCount val="132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45474</c:v>
                </c:pt>
                <c:pt idx="121">
                  <c:v>45505</c:v>
                </c:pt>
                <c:pt idx="122">
                  <c:v>45536</c:v>
                </c:pt>
                <c:pt idx="123">
                  <c:v>45566</c:v>
                </c:pt>
                <c:pt idx="124">
                  <c:v>45597</c:v>
                </c:pt>
                <c:pt idx="125">
                  <c:v>45627</c:v>
                </c:pt>
                <c:pt idx="126">
                  <c:v>45658</c:v>
                </c:pt>
                <c:pt idx="127">
                  <c:v>45689</c:v>
                </c:pt>
                <c:pt idx="128">
                  <c:v>45717</c:v>
                </c:pt>
                <c:pt idx="129">
                  <c:v>45748</c:v>
                </c:pt>
                <c:pt idx="130">
                  <c:v>45778</c:v>
                </c:pt>
                <c:pt idx="131">
                  <c:v>45809</c:v>
                </c:pt>
              </c:numCache>
            </c:numRef>
          </c:cat>
          <c:val>
            <c:numRef>
              <c:f>'moyenne mobile'!$B$8:$B$139</c:f>
              <c:numCache>
                <c:formatCode>General</c:formatCode>
                <c:ptCount val="132"/>
                <c:pt idx="0">
                  <c:v>6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53</c:v>
                </c:pt>
                <c:pt idx="6">
                  <c:v>58</c:v>
                </c:pt>
                <c:pt idx="7">
                  <c:v>75</c:v>
                </c:pt>
                <c:pt idx="8">
                  <c:v>23</c:v>
                </c:pt>
                <c:pt idx="9">
                  <c:v>7</c:v>
                </c:pt>
                <c:pt idx="10">
                  <c:v>4</c:v>
                </c:pt>
                <c:pt idx="11">
                  <c:v>4</c:v>
                </c:pt>
                <c:pt idx="12">
                  <c:v>7</c:v>
                </c:pt>
                <c:pt idx="13">
                  <c:v>12</c:v>
                </c:pt>
                <c:pt idx="14">
                  <c:v>18</c:v>
                </c:pt>
                <c:pt idx="15">
                  <c:v>20</c:v>
                </c:pt>
                <c:pt idx="16">
                  <c:v>30</c:v>
                </c:pt>
                <c:pt idx="17">
                  <c:v>44</c:v>
                </c:pt>
                <c:pt idx="18">
                  <c:v>65</c:v>
                </c:pt>
                <c:pt idx="19">
                  <c:v>62</c:v>
                </c:pt>
                <c:pt idx="20">
                  <c:v>29</c:v>
                </c:pt>
                <c:pt idx="21">
                  <c:v>9</c:v>
                </c:pt>
                <c:pt idx="22">
                  <c:v>5</c:v>
                </c:pt>
                <c:pt idx="23">
                  <c:v>4</c:v>
                </c:pt>
                <c:pt idx="24">
                  <c:v>6</c:v>
                </c:pt>
                <c:pt idx="25">
                  <c:v>11</c:v>
                </c:pt>
                <c:pt idx="26">
                  <c:v>16</c:v>
                </c:pt>
                <c:pt idx="27">
                  <c:v>20</c:v>
                </c:pt>
                <c:pt idx="28">
                  <c:v>35</c:v>
                </c:pt>
                <c:pt idx="29">
                  <c:v>46</c:v>
                </c:pt>
                <c:pt idx="30">
                  <c:v>66</c:v>
                </c:pt>
                <c:pt idx="31">
                  <c:v>71</c:v>
                </c:pt>
                <c:pt idx="32">
                  <c:v>22</c:v>
                </c:pt>
                <c:pt idx="33">
                  <c:v>9</c:v>
                </c:pt>
                <c:pt idx="34">
                  <c:v>4</c:v>
                </c:pt>
                <c:pt idx="35">
                  <c:v>5</c:v>
                </c:pt>
                <c:pt idx="36">
                  <c:v>8</c:v>
                </c:pt>
                <c:pt idx="37">
                  <c:v>13</c:v>
                </c:pt>
                <c:pt idx="38">
                  <c:v>16</c:v>
                </c:pt>
                <c:pt idx="39">
                  <c:v>20</c:v>
                </c:pt>
                <c:pt idx="40">
                  <c:v>39</c:v>
                </c:pt>
                <c:pt idx="41">
                  <c:v>71</c:v>
                </c:pt>
                <c:pt idx="42">
                  <c:v>64</c:v>
                </c:pt>
                <c:pt idx="43">
                  <c:v>68</c:v>
                </c:pt>
                <c:pt idx="44">
                  <c:v>33</c:v>
                </c:pt>
                <c:pt idx="45">
                  <c:v>10</c:v>
                </c:pt>
                <c:pt idx="46">
                  <c:v>5</c:v>
                </c:pt>
                <c:pt idx="47">
                  <c:v>5</c:v>
                </c:pt>
                <c:pt idx="48">
                  <c:v>7</c:v>
                </c:pt>
                <c:pt idx="49">
                  <c:v>13</c:v>
                </c:pt>
                <c:pt idx="50">
                  <c:v>16</c:v>
                </c:pt>
                <c:pt idx="51">
                  <c:v>20</c:v>
                </c:pt>
                <c:pt idx="52">
                  <c:v>30</c:v>
                </c:pt>
                <c:pt idx="53">
                  <c:v>55</c:v>
                </c:pt>
                <c:pt idx="54">
                  <c:v>66</c:v>
                </c:pt>
                <c:pt idx="55">
                  <c:v>71</c:v>
                </c:pt>
                <c:pt idx="56">
                  <c:v>24</c:v>
                </c:pt>
                <c:pt idx="57">
                  <c:v>12</c:v>
                </c:pt>
                <c:pt idx="58">
                  <c:v>7</c:v>
                </c:pt>
                <c:pt idx="59">
                  <c:v>6</c:v>
                </c:pt>
                <c:pt idx="60">
                  <c:v>9</c:v>
                </c:pt>
                <c:pt idx="61">
                  <c:v>16</c:v>
                </c:pt>
                <c:pt idx="62">
                  <c:v>19</c:v>
                </c:pt>
                <c:pt idx="63">
                  <c:v>21</c:v>
                </c:pt>
                <c:pt idx="64">
                  <c:v>42</c:v>
                </c:pt>
                <c:pt idx="65">
                  <c:v>62</c:v>
                </c:pt>
                <c:pt idx="66">
                  <c:v>68</c:v>
                </c:pt>
                <c:pt idx="67">
                  <c:v>67</c:v>
                </c:pt>
                <c:pt idx="68">
                  <c:v>42</c:v>
                </c:pt>
                <c:pt idx="69">
                  <c:v>6</c:v>
                </c:pt>
                <c:pt idx="70">
                  <c:v>5</c:v>
                </c:pt>
                <c:pt idx="71">
                  <c:v>7</c:v>
                </c:pt>
                <c:pt idx="72">
                  <c:v>10</c:v>
                </c:pt>
                <c:pt idx="73">
                  <c:v>14</c:v>
                </c:pt>
                <c:pt idx="74">
                  <c:v>15</c:v>
                </c:pt>
                <c:pt idx="75">
                  <c:v>18</c:v>
                </c:pt>
                <c:pt idx="76">
                  <c:v>41</c:v>
                </c:pt>
                <c:pt idx="77">
                  <c:v>58</c:v>
                </c:pt>
                <c:pt idx="78">
                  <c:v>91</c:v>
                </c:pt>
                <c:pt idx="79">
                  <c:v>57</c:v>
                </c:pt>
                <c:pt idx="80">
                  <c:v>15</c:v>
                </c:pt>
                <c:pt idx="81">
                  <c:v>5</c:v>
                </c:pt>
                <c:pt idx="82">
                  <c:v>6</c:v>
                </c:pt>
                <c:pt idx="83">
                  <c:v>5</c:v>
                </c:pt>
                <c:pt idx="84">
                  <c:v>8</c:v>
                </c:pt>
                <c:pt idx="85">
                  <c:v>13</c:v>
                </c:pt>
                <c:pt idx="86">
                  <c:v>15</c:v>
                </c:pt>
                <c:pt idx="87">
                  <c:v>23</c:v>
                </c:pt>
                <c:pt idx="88">
                  <c:v>40</c:v>
                </c:pt>
                <c:pt idx="89">
                  <c:v>82</c:v>
                </c:pt>
                <c:pt idx="90">
                  <c:v>100</c:v>
                </c:pt>
                <c:pt idx="91">
                  <c:v>84</c:v>
                </c:pt>
                <c:pt idx="92">
                  <c:v>27</c:v>
                </c:pt>
                <c:pt idx="93">
                  <c:v>11</c:v>
                </c:pt>
                <c:pt idx="94">
                  <c:v>7</c:v>
                </c:pt>
                <c:pt idx="95">
                  <c:v>6</c:v>
                </c:pt>
                <c:pt idx="96">
                  <c:v>11</c:v>
                </c:pt>
                <c:pt idx="97">
                  <c:v>15</c:v>
                </c:pt>
                <c:pt idx="98">
                  <c:v>16</c:v>
                </c:pt>
                <c:pt idx="99">
                  <c:v>21</c:v>
                </c:pt>
                <c:pt idx="100">
                  <c:v>33</c:v>
                </c:pt>
                <c:pt idx="101">
                  <c:v>65</c:v>
                </c:pt>
                <c:pt idx="102">
                  <c:v>76</c:v>
                </c:pt>
                <c:pt idx="103">
                  <c:v>73</c:v>
                </c:pt>
                <c:pt idx="104">
                  <c:v>23</c:v>
                </c:pt>
                <c:pt idx="105">
                  <c:v>10</c:v>
                </c:pt>
                <c:pt idx="106">
                  <c:v>6</c:v>
                </c:pt>
                <c:pt idx="107">
                  <c:v>6</c:v>
                </c:pt>
                <c:pt idx="108">
                  <c:v>10</c:v>
                </c:pt>
                <c:pt idx="109">
                  <c:v>14</c:v>
                </c:pt>
                <c:pt idx="110">
                  <c:v>16</c:v>
                </c:pt>
                <c:pt idx="111">
                  <c:v>22</c:v>
                </c:pt>
                <c:pt idx="112">
                  <c:v>37</c:v>
                </c:pt>
                <c:pt idx="113">
                  <c:v>68</c:v>
                </c:pt>
                <c:pt idx="114">
                  <c:v>79</c:v>
                </c:pt>
                <c:pt idx="115">
                  <c:v>54</c:v>
                </c:pt>
                <c:pt idx="116">
                  <c:v>29</c:v>
                </c:pt>
                <c:pt idx="117">
                  <c:v>10</c:v>
                </c:pt>
                <c:pt idx="118">
                  <c:v>6</c:v>
                </c:pt>
                <c:pt idx="119">
                  <c:v>6</c:v>
                </c:pt>
                <c:pt idx="120">
                  <c:v>9</c:v>
                </c:pt>
                <c:pt idx="121">
                  <c:v>14</c:v>
                </c:pt>
                <c:pt idx="122">
                  <c:v>18</c:v>
                </c:pt>
                <c:pt idx="123">
                  <c:v>22</c:v>
                </c:pt>
                <c:pt idx="124">
                  <c:v>34</c:v>
                </c:pt>
                <c:pt idx="125">
                  <c:v>72</c:v>
                </c:pt>
                <c:pt idx="126">
                  <c:v>70</c:v>
                </c:pt>
                <c:pt idx="127">
                  <c:v>63</c:v>
                </c:pt>
                <c:pt idx="128">
                  <c:v>22</c:v>
                </c:pt>
                <c:pt idx="129">
                  <c:v>10</c:v>
                </c:pt>
                <c:pt idx="130">
                  <c:v>6</c:v>
                </c:pt>
                <c:pt idx="13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E-44FF-8542-F60BFBE9AD8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'moyenne mobile'!$A$8:$A$139</c:f>
              <c:numCache>
                <c:formatCode>m/d/yyyy</c:formatCode>
                <c:ptCount val="132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45474</c:v>
                </c:pt>
                <c:pt idx="121">
                  <c:v>45505</c:v>
                </c:pt>
                <c:pt idx="122">
                  <c:v>45536</c:v>
                </c:pt>
                <c:pt idx="123">
                  <c:v>45566</c:v>
                </c:pt>
                <c:pt idx="124">
                  <c:v>45597</c:v>
                </c:pt>
                <c:pt idx="125">
                  <c:v>45627</c:v>
                </c:pt>
                <c:pt idx="126">
                  <c:v>45658</c:v>
                </c:pt>
                <c:pt idx="127">
                  <c:v>45689</c:v>
                </c:pt>
                <c:pt idx="128">
                  <c:v>45717</c:v>
                </c:pt>
                <c:pt idx="129">
                  <c:v>45748</c:v>
                </c:pt>
                <c:pt idx="130">
                  <c:v>45778</c:v>
                </c:pt>
                <c:pt idx="131">
                  <c:v>45809</c:v>
                </c:pt>
              </c:numCache>
            </c:numRef>
          </c:cat>
          <c:val>
            <c:numRef>
              <c:f>'moyenne mobile'!$C$8:$C$139</c:f>
              <c:numCache>
                <c:formatCode>0.0</c:formatCode>
                <c:ptCount val="132"/>
                <c:pt idx="0">
                  <c:v>24.25</c:v>
                </c:pt>
                <c:pt idx="1">
                  <c:v>25.208333333333332</c:v>
                </c:pt>
                <c:pt idx="2">
                  <c:v>25.833333333333332</c:v>
                </c:pt>
                <c:pt idx="3">
                  <c:v>25.666666666666668</c:v>
                </c:pt>
                <c:pt idx="4">
                  <c:v>25.541666666666668</c:v>
                </c:pt>
                <c:pt idx="5">
                  <c:v>25.416666666666668</c:v>
                </c:pt>
                <c:pt idx="6">
                  <c:v>25.458333333333332</c:v>
                </c:pt>
                <c:pt idx="7">
                  <c:v>25.541666666666668</c:v>
                </c:pt>
                <c:pt idx="8">
                  <c:v>25.708333333333332</c:v>
                </c:pt>
                <c:pt idx="9">
                  <c:v>25.875</c:v>
                </c:pt>
                <c:pt idx="10">
                  <c:v>25.916666666666668</c:v>
                </c:pt>
                <c:pt idx="11">
                  <c:v>25.541666666666668</c:v>
                </c:pt>
                <c:pt idx="12">
                  <c:v>25.458333333333332</c:v>
                </c:pt>
                <c:pt idx="13">
                  <c:v>25.208333333333332</c:v>
                </c:pt>
                <c:pt idx="14">
                  <c:v>24.916666666666668</c:v>
                </c:pt>
                <c:pt idx="15">
                  <c:v>25.25</c:v>
                </c:pt>
                <c:pt idx="16">
                  <c:v>25.375</c:v>
                </c:pt>
                <c:pt idx="17">
                  <c:v>25.416666666666668</c:v>
                </c:pt>
                <c:pt idx="18">
                  <c:v>25.375</c:v>
                </c:pt>
                <c:pt idx="19">
                  <c:v>25.291666666666668</c:v>
                </c:pt>
                <c:pt idx="20">
                  <c:v>25.166666666666668</c:v>
                </c:pt>
                <c:pt idx="21">
                  <c:v>25.083333333333332</c:v>
                </c:pt>
                <c:pt idx="22">
                  <c:v>25.291666666666668</c:v>
                </c:pt>
                <c:pt idx="23">
                  <c:v>25.583333333333332</c:v>
                </c:pt>
                <c:pt idx="24">
                  <c:v>25.708333333333332</c:v>
                </c:pt>
                <c:pt idx="25">
                  <c:v>26.125</c:v>
                </c:pt>
                <c:pt idx="26">
                  <c:v>26.208333333333332</c:v>
                </c:pt>
                <c:pt idx="27">
                  <c:v>25.916666666666668</c:v>
                </c:pt>
                <c:pt idx="28">
                  <c:v>25.875</c:v>
                </c:pt>
                <c:pt idx="29">
                  <c:v>25.875</c:v>
                </c:pt>
                <c:pt idx="30">
                  <c:v>26</c:v>
                </c:pt>
                <c:pt idx="31">
                  <c:v>26.166666666666668</c:v>
                </c:pt>
                <c:pt idx="32">
                  <c:v>26.25</c:v>
                </c:pt>
                <c:pt idx="33">
                  <c:v>26.25</c:v>
                </c:pt>
                <c:pt idx="34">
                  <c:v>26.416666666666668</c:v>
                </c:pt>
                <c:pt idx="35">
                  <c:v>27.625</c:v>
                </c:pt>
                <c:pt idx="36">
                  <c:v>28.583333333333332</c:v>
                </c:pt>
                <c:pt idx="37">
                  <c:v>28.375</c:v>
                </c:pt>
                <c:pt idx="38">
                  <c:v>28.708333333333332</c:v>
                </c:pt>
                <c:pt idx="39">
                  <c:v>29.208333333333332</c:v>
                </c:pt>
                <c:pt idx="40">
                  <c:v>29.291666666666668</c:v>
                </c:pt>
                <c:pt idx="41">
                  <c:v>29.333333333333332</c:v>
                </c:pt>
                <c:pt idx="42">
                  <c:v>29.291666666666668</c:v>
                </c:pt>
                <c:pt idx="43">
                  <c:v>29.25</c:v>
                </c:pt>
                <c:pt idx="44">
                  <c:v>29.25</c:v>
                </c:pt>
                <c:pt idx="45">
                  <c:v>29.25</c:v>
                </c:pt>
                <c:pt idx="46">
                  <c:v>28.875</c:v>
                </c:pt>
                <c:pt idx="47">
                  <c:v>27.833333333333332</c:v>
                </c:pt>
                <c:pt idx="48">
                  <c:v>27.25</c:v>
                </c:pt>
                <c:pt idx="49">
                  <c:v>27.458333333333332</c:v>
                </c:pt>
                <c:pt idx="50">
                  <c:v>27.208333333333332</c:v>
                </c:pt>
                <c:pt idx="51">
                  <c:v>26.916666666666668</c:v>
                </c:pt>
                <c:pt idx="52">
                  <c:v>27.083333333333332</c:v>
                </c:pt>
                <c:pt idx="53">
                  <c:v>27.208333333333332</c:v>
                </c:pt>
                <c:pt idx="54">
                  <c:v>27.333333333333332</c:v>
                </c:pt>
                <c:pt idx="55">
                  <c:v>27.541666666666668</c:v>
                </c:pt>
                <c:pt idx="56">
                  <c:v>27.791666666666668</c:v>
                </c:pt>
                <c:pt idx="57">
                  <c:v>27.958333333333332</c:v>
                </c:pt>
                <c:pt idx="58">
                  <c:v>28.5</c:v>
                </c:pt>
                <c:pt idx="59">
                  <c:v>29.291666666666668</c:v>
                </c:pt>
                <c:pt idx="60">
                  <c:v>29.666666666666668</c:v>
                </c:pt>
                <c:pt idx="61">
                  <c:v>29.583333333333332</c:v>
                </c:pt>
                <c:pt idx="62">
                  <c:v>30.166666666666668</c:v>
                </c:pt>
                <c:pt idx="63">
                  <c:v>30.666666666666668</c:v>
                </c:pt>
                <c:pt idx="64">
                  <c:v>30.333333333333332</c:v>
                </c:pt>
                <c:pt idx="65">
                  <c:v>30.291666666666668</c:v>
                </c:pt>
                <c:pt idx="66">
                  <c:v>30.375</c:v>
                </c:pt>
                <c:pt idx="67">
                  <c:v>30.333333333333332</c:v>
                </c:pt>
                <c:pt idx="68">
                  <c:v>30.083333333333332</c:v>
                </c:pt>
                <c:pt idx="69">
                  <c:v>29.791666666666668</c:v>
                </c:pt>
                <c:pt idx="70">
                  <c:v>29.625</c:v>
                </c:pt>
                <c:pt idx="71">
                  <c:v>29.416666666666668</c:v>
                </c:pt>
                <c:pt idx="72">
                  <c:v>30.208333333333332</c:v>
                </c:pt>
                <c:pt idx="73">
                  <c:v>30.75</c:v>
                </c:pt>
                <c:pt idx="74">
                  <c:v>29.208333333333332</c:v>
                </c:pt>
                <c:pt idx="75">
                  <c:v>28.041666666666668</c:v>
                </c:pt>
                <c:pt idx="76">
                  <c:v>28.041666666666668</c:v>
                </c:pt>
                <c:pt idx="77">
                  <c:v>28</c:v>
                </c:pt>
                <c:pt idx="78">
                  <c:v>27.833333333333332</c:v>
                </c:pt>
                <c:pt idx="79">
                  <c:v>27.708333333333332</c:v>
                </c:pt>
                <c:pt idx="80">
                  <c:v>27.666666666666668</c:v>
                </c:pt>
                <c:pt idx="81">
                  <c:v>27.875</c:v>
                </c:pt>
                <c:pt idx="82">
                  <c:v>28.041666666666668</c:v>
                </c:pt>
                <c:pt idx="83">
                  <c:v>29</c:v>
                </c:pt>
                <c:pt idx="84">
                  <c:v>30.375</c:v>
                </c:pt>
                <c:pt idx="85">
                  <c:v>31.875</c:v>
                </c:pt>
                <c:pt idx="86">
                  <c:v>33.5</c:v>
                </c:pt>
                <c:pt idx="87">
                  <c:v>34.25</c:v>
                </c:pt>
                <c:pt idx="88">
                  <c:v>34.541666666666664</c:v>
                </c:pt>
                <c:pt idx="89">
                  <c:v>34.625</c:v>
                </c:pt>
                <c:pt idx="90">
                  <c:v>34.791666666666664</c:v>
                </c:pt>
                <c:pt idx="91">
                  <c:v>35</c:v>
                </c:pt>
                <c:pt idx="92">
                  <c:v>35.125</c:v>
                </c:pt>
                <c:pt idx="93">
                  <c:v>35.083333333333336</c:v>
                </c:pt>
                <c:pt idx="94">
                  <c:v>34.708333333333336</c:v>
                </c:pt>
                <c:pt idx="95">
                  <c:v>33.708333333333336</c:v>
                </c:pt>
                <c:pt idx="96">
                  <c:v>32</c:v>
                </c:pt>
                <c:pt idx="97">
                  <c:v>30.541666666666668</c:v>
                </c:pt>
                <c:pt idx="98">
                  <c:v>29.916666666666668</c:v>
                </c:pt>
                <c:pt idx="99">
                  <c:v>29.708333333333332</c:v>
                </c:pt>
                <c:pt idx="100">
                  <c:v>29.625</c:v>
                </c:pt>
                <c:pt idx="101">
                  <c:v>29.583333333333332</c:v>
                </c:pt>
                <c:pt idx="102">
                  <c:v>29.541666666666668</c:v>
                </c:pt>
                <c:pt idx="103">
                  <c:v>29.458333333333332</c:v>
                </c:pt>
                <c:pt idx="104">
                  <c:v>29.416666666666668</c:v>
                </c:pt>
                <c:pt idx="105">
                  <c:v>29.458333333333332</c:v>
                </c:pt>
                <c:pt idx="106">
                  <c:v>29.666666666666668</c:v>
                </c:pt>
                <c:pt idx="107">
                  <c:v>29.958333333333332</c:v>
                </c:pt>
                <c:pt idx="108">
                  <c:v>30.208333333333332</c:v>
                </c:pt>
                <c:pt idx="109">
                  <c:v>29.541666666666668</c:v>
                </c:pt>
                <c:pt idx="110">
                  <c:v>29</c:v>
                </c:pt>
                <c:pt idx="111">
                  <c:v>29.25</c:v>
                </c:pt>
                <c:pt idx="112">
                  <c:v>29.25</c:v>
                </c:pt>
                <c:pt idx="113">
                  <c:v>29.25</c:v>
                </c:pt>
                <c:pt idx="114">
                  <c:v>29.208333333333332</c:v>
                </c:pt>
                <c:pt idx="115">
                  <c:v>29.166666666666668</c:v>
                </c:pt>
                <c:pt idx="116">
                  <c:v>29.25</c:v>
                </c:pt>
                <c:pt idx="117">
                  <c:v>29.333333333333332</c:v>
                </c:pt>
                <c:pt idx="118">
                  <c:v>29.208333333333332</c:v>
                </c:pt>
                <c:pt idx="119">
                  <c:v>29.25</c:v>
                </c:pt>
                <c:pt idx="120">
                  <c:v>29.041666666666668</c:v>
                </c:pt>
                <c:pt idx="121">
                  <c:v>29.041666666666668</c:v>
                </c:pt>
                <c:pt idx="122">
                  <c:v>29.125</c:v>
                </c:pt>
                <c:pt idx="123">
                  <c:v>28.833333333333332</c:v>
                </c:pt>
                <c:pt idx="124">
                  <c:v>28.833333333333332</c:v>
                </c:pt>
                <c:pt idx="125">
                  <c:v>28.833333333333332</c:v>
                </c:pt>
                <c:pt idx="126">
                  <c:v>28.916666666666668</c:v>
                </c:pt>
                <c:pt idx="127">
                  <c:v>29.125</c:v>
                </c:pt>
                <c:pt idx="128">
                  <c:v>29.25</c:v>
                </c:pt>
                <c:pt idx="129">
                  <c:v>29.25</c:v>
                </c:pt>
                <c:pt idx="130">
                  <c:v>29.458333333333332</c:v>
                </c:pt>
                <c:pt idx="131">
                  <c:v>29.333333333333332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E-44FF-8542-F60BFBE9A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427919"/>
        <c:axId val="1069767855"/>
      </c:lineChart>
      <c:dateAx>
        <c:axId val="15034279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767855"/>
        <c:crosses val="autoZero"/>
        <c:auto val="1"/>
        <c:lblOffset val="100"/>
        <c:baseTimeUnit val="months"/>
      </c:dateAx>
      <c:valAx>
        <c:axId val="106976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342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7</xdr:row>
      <xdr:rowOff>22860</xdr:rowOff>
    </xdr:from>
    <xdr:to>
      <xdr:col>17</xdr:col>
      <xdr:colOff>243840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A3836-8791-425A-BBD0-CD340BC32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365760</xdr:colOff>
      <xdr:row>2</xdr:row>
      <xdr:rowOff>175260</xdr:rowOff>
    </xdr:from>
    <xdr:to>
      <xdr:col>20</xdr:col>
      <xdr:colOff>60960</xdr:colOff>
      <xdr:row>17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F979EA-8508-42D1-AF7F-DB80D9BE4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eur" refreshedDate="46117.669123495369" createdVersion="6" refreshedVersion="6" minRefreshableVersion="3" recordCount="148" xr:uid="{B6780EE0-43AF-4F38-9B28-4CEFBEA5F88E}">
  <cacheSource type="worksheet">
    <worksheetSource ref="A1:B1048576" sheet="dataset"/>
  </cacheSource>
  <cacheFields count="4">
    <cacheField name="Time" numFmtId="14">
      <sharedItems containsNonDate="0" containsDate="1" containsString="0" containsBlank="1" minDate="2014-01-01T00:00:00" maxDate="2025-12-02T00:00:00" count="145"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m/>
      </sharedItems>
      <fieldGroup par="3" base="0">
        <rangePr groupBy="months" startDate="2014-01-01T00:00:00" endDate="2025-12-0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2025"/>
        </groupItems>
      </fieldGroup>
    </cacheField>
    <cacheField name="Sum of station de ski" numFmtId="0">
      <sharedItems containsString="0" containsBlank="1" containsNumber="1" containsInteger="1" minValue="4" maxValue="100"/>
    </cacheField>
    <cacheField name="Quarters" numFmtId="0" databaseField="0">
      <fieldGroup base="0">
        <rangePr groupBy="quarters" startDate="2014-01-01T00:00:00" endDate="2025-12-02T00:00:00"/>
        <groupItems count="6">
          <s v="&lt;01/01/2014"/>
          <s v="Qtr1"/>
          <s v="Qtr2"/>
          <s v="Qtr3"/>
          <s v="Qtr4"/>
          <s v="&gt;02/12/2025"/>
        </groupItems>
      </fieldGroup>
    </cacheField>
    <cacheField name="Years" numFmtId="0" databaseField="0">
      <fieldGroup base="0">
        <rangePr groupBy="years" startDate="2014-01-01T00:00:00" endDate="2025-12-02T00:00:00"/>
        <groupItems count="14">
          <s v="&lt;01/01/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n v="54"/>
  </r>
  <r>
    <x v="1"/>
    <n v="56"/>
  </r>
  <r>
    <x v="2"/>
    <n v="27"/>
  </r>
  <r>
    <x v="3"/>
    <n v="7"/>
  </r>
  <r>
    <x v="4"/>
    <n v="7"/>
  </r>
  <r>
    <x v="5"/>
    <n v="4"/>
  </r>
  <r>
    <x v="6"/>
    <n v="6"/>
  </r>
  <r>
    <x v="7"/>
    <n v="11"/>
  </r>
  <r>
    <x v="8"/>
    <n v="15"/>
  </r>
  <r>
    <x v="9"/>
    <n v="19"/>
  </r>
  <r>
    <x v="10"/>
    <n v="30"/>
  </r>
  <r>
    <x v="11"/>
    <n v="53"/>
  </r>
  <r>
    <x v="12"/>
    <n v="58"/>
  </r>
  <r>
    <x v="13"/>
    <n v="75"/>
  </r>
  <r>
    <x v="14"/>
    <n v="23"/>
  </r>
  <r>
    <x v="15"/>
    <n v="7"/>
  </r>
  <r>
    <x v="16"/>
    <n v="4"/>
  </r>
  <r>
    <x v="17"/>
    <n v="4"/>
  </r>
  <r>
    <x v="18"/>
    <n v="7"/>
  </r>
  <r>
    <x v="19"/>
    <n v="12"/>
  </r>
  <r>
    <x v="20"/>
    <n v="18"/>
  </r>
  <r>
    <x v="21"/>
    <n v="20"/>
  </r>
  <r>
    <x v="22"/>
    <n v="30"/>
  </r>
  <r>
    <x v="23"/>
    <n v="44"/>
  </r>
  <r>
    <x v="24"/>
    <n v="65"/>
  </r>
  <r>
    <x v="25"/>
    <n v="62"/>
  </r>
  <r>
    <x v="26"/>
    <n v="29"/>
  </r>
  <r>
    <x v="27"/>
    <n v="9"/>
  </r>
  <r>
    <x v="28"/>
    <n v="5"/>
  </r>
  <r>
    <x v="29"/>
    <n v="4"/>
  </r>
  <r>
    <x v="30"/>
    <n v="6"/>
  </r>
  <r>
    <x v="31"/>
    <n v="11"/>
  </r>
  <r>
    <x v="32"/>
    <n v="16"/>
  </r>
  <r>
    <x v="33"/>
    <n v="20"/>
  </r>
  <r>
    <x v="34"/>
    <n v="35"/>
  </r>
  <r>
    <x v="35"/>
    <n v="46"/>
  </r>
  <r>
    <x v="36"/>
    <n v="66"/>
  </r>
  <r>
    <x v="37"/>
    <n v="71"/>
  </r>
  <r>
    <x v="38"/>
    <n v="22"/>
  </r>
  <r>
    <x v="39"/>
    <n v="9"/>
  </r>
  <r>
    <x v="40"/>
    <n v="4"/>
  </r>
  <r>
    <x v="41"/>
    <n v="5"/>
  </r>
  <r>
    <x v="42"/>
    <n v="8"/>
  </r>
  <r>
    <x v="43"/>
    <n v="13"/>
  </r>
  <r>
    <x v="44"/>
    <n v="16"/>
  </r>
  <r>
    <x v="45"/>
    <n v="20"/>
  </r>
  <r>
    <x v="46"/>
    <n v="39"/>
  </r>
  <r>
    <x v="47"/>
    <n v="71"/>
  </r>
  <r>
    <x v="48"/>
    <n v="64"/>
  </r>
  <r>
    <x v="49"/>
    <n v="68"/>
  </r>
  <r>
    <x v="50"/>
    <n v="33"/>
  </r>
  <r>
    <x v="51"/>
    <n v="10"/>
  </r>
  <r>
    <x v="52"/>
    <n v="5"/>
  </r>
  <r>
    <x v="53"/>
    <n v="5"/>
  </r>
  <r>
    <x v="54"/>
    <n v="7"/>
  </r>
  <r>
    <x v="55"/>
    <n v="13"/>
  </r>
  <r>
    <x v="56"/>
    <n v="16"/>
  </r>
  <r>
    <x v="57"/>
    <n v="20"/>
  </r>
  <r>
    <x v="58"/>
    <n v="30"/>
  </r>
  <r>
    <x v="59"/>
    <n v="55"/>
  </r>
  <r>
    <x v="60"/>
    <n v="66"/>
  </r>
  <r>
    <x v="61"/>
    <n v="71"/>
  </r>
  <r>
    <x v="62"/>
    <n v="24"/>
  </r>
  <r>
    <x v="63"/>
    <n v="12"/>
  </r>
  <r>
    <x v="64"/>
    <n v="7"/>
  </r>
  <r>
    <x v="65"/>
    <n v="6"/>
  </r>
  <r>
    <x v="66"/>
    <n v="9"/>
  </r>
  <r>
    <x v="67"/>
    <n v="16"/>
  </r>
  <r>
    <x v="68"/>
    <n v="19"/>
  </r>
  <r>
    <x v="69"/>
    <n v="21"/>
  </r>
  <r>
    <x v="70"/>
    <n v="42"/>
  </r>
  <r>
    <x v="71"/>
    <n v="62"/>
  </r>
  <r>
    <x v="72"/>
    <n v="68"/>
  </r>
  <r>
    <x v="73"/>
    <n v="67"/>
  </r>
  <r>
    <x v="74"/>
    <n v="42"/>
  </r>
  <r>
    <x v="75"/>
    <n v="6"/>
  </r>
  <r>
    <x v="76"/>
    <n v="5"/>
  </r>
  <r>
    <x v="77"/>
    <n v="7"/>
  </r>
  <r>
    <x v="78"/>
    <n v="10"/>
  </r>
  <r>
    <x v="79"/>
    <n v="14"/>
  </r>
  <r>
    <x v="80"/>
    <n v="15"/>
  </r>
  <r>
    <x v="81"/>
    <n v="18"/>
  </r>
  <r>
    <x v="82"/>
    <n v="41"/>
  </r>
  <r>
    <x v="83"/>
    <n v="58"/>
  </r>
  <r>
    <x v="84"/>
    <n v="91"/>
  </r>
  <r>
    <x v="85"/>
    <n v="57"/>
  </r>
  <r>
    <x v="86"/>
    <n v="15"/>
  </r>
  <r>
    <x v="87"/>
    <n v="5"/>
  </r>
  <r>
    <x v="88"/>
    <n v="6"/>
  </r>
  <r>
    <x v="89"/>
    <n v="5"/>
  </r>
  <r>
    <x v="90"/>
    <n v="8"/>
  </r>
  <r>
    <x v="91"/>
    <n v="13"/>
  </r>
  <r>
    <x v="92"/>
    <n v="15"/>
  </r>
  <r>
    <x v="93"/>
    <n v="23"/>
  </r>
  <r>
    <x v="94"/>
    <n v="40"/>
  </r>
  <r>
    <x v="95"/>
    <n v="82"/>
  </r>
  <r>
    <x v="96"/>
    <n v="100"/>
  </r>
  <r>
    <x v="97"/>
    <n v="84"/>
  </r>
  <r>
    <x v="98"/>
    <n v="27"/>
  </r>
  <r>
    <x v="99"/>
    <n v="11"/>
  </r>
  <r>
    <x v="100"/>
    <n v="7"/>
  </r>
  <r>
    <x v="101"/>
    <n v="6"/>
  </r>
  <r>
    <x v="102"/>
    <n v="11"/>
  </r>
  <r>
    <x v="103"/>
    <n v="15"/>
  </r>
  <r>
    <x v="104"/>
    <n v="16"/>
  </r>
  <r>
    <x v="105"/>
    <n v="21"/>
  </r>
  <r>
    <x v="106"/>
    <n v="33"/>
  </r>
  <r>
    <x v="107"/>
    <n v="65"/>
  </r>
  <r>
    <x v="108"/>
    <n v="76"/>
  </r>
  <r>
    <x v="109"/>
    <n v="73"/>
  </r>
  <r>
    <x v="110"/>
    <n v="23"/>
  </r>
  <r>
    <x v="111"/>
    <n v="10"/>
  </r>
  <r>
    <x v="112"/>
    <n v="6"/>
  </r>
  <r>
    <x v="113"/>
    <n v="6"/>
  </r>
  <r>
    <x v="114"/>
    <n v="10"/>
  </r>
  <r>
    <x v="115"/>
    <n v="14"/>
  </r>
  <r>
    <x v="116"/>
    <n v="16"/>
  </r>
  <r>
    <x v="117"/>
    <n v="22"/>
  </r>
  <r>
    <x v="118"/>
    <n v="37"/>
  </r>
  <r>
    <x v="119"/>
    <n v="68"/>
  </r>
  <r>
    <x v="120"/>
    <n v="79"/>
  </r>
  <r>
    <x v="121"/>
    <n v="54"/>
  </r>
  <r>
    <x v="122"/>
    <n v="29"/>
  </r>
  <r>
    <x v="123"/>
    <n v="10"/>
  </r>
  <r>
    <x v="124"/>
    <n v="6"/>
  </r>
  <r>
    <x v="125"/>
    <n v="6"/>
  </r>
  <r>
    <x v="126"/>
    <n v="9"/>
  </r>
  <r>
    <x v="127"/>
    <n v="14"/>
  </r>
  <r>
    <x v="128"/>
    <n v="18"/>
  </r>
  <r>
    <x v="129"/>
    <n v="22"/>
  </r>
  <r>
    <x v="130"/>
    <n v="34"/>
  </r>
  <r>
    <x v="131"/>
    <n v="72"/>
  </r>
  <r>
    <x v="132"/>
    <n v="70"/>
  </r>
  <r>
    <x v="133"/>
    <n v="63"/>
  </r>
  <r>
    <x v="134"/>
    <n v="22"/>
  </r>
  <r>
    <x v="135"/>
    <n v="10"/>
  </r>
  <r>
    <x v="136"/>
    <n v="6"/>
  </r>
  <r>
    <x v="137"/>
    <n v="6"/>
  </r>
  <r>
    <x v="138"/>
    <n v="11"/>
  </r>
  <r>
    <x v="139"/>
    <n v="17"/>
  </r>
  <r>
    <x v="140"/>
    <n v="18"/>
  </r>
  <r>
    <x v="141"/>
    <n v="22"/>
  </r>
  <r>
    <x v="142"/>
    <n v="39"/>
  </r>
  <r>
    <x v="143"/>
    <n v="64"/>
  </r>
  <r>
    <x v="144"/>
    <m/>
  </r>
  <r>
    <x v="144"/>
    <m/>
  </r>
  <r>
    <x v="144"/>
    <m/>
  </r>
  <r>
    <x v="14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D775C-30EE-446B-A81E-99257713D019}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3:B162" firstHeaderRow="1" firstDataRow="1" firstDataCol="1"/>
  <pivotFields count="4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0"/>
  </rowFields>
  <rowItems count="159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um of station de ski" fld="1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BF74-3884-42D0-B040-925B565FEA1E}">
  <dimension ref="A3:B162"/>
  <sheetViews>
    <sheetView tabSelected="1" workbookViewId="0">
      <selection activeCell="A3" sqref="A3"/>
    </sheetView>
  </sheetViews>
  <sheetFormatPr defaultRowHeight="14.4"/>
  <cols>
    <col min="1" max="1" width="13.77734375" bestFit="1" customWidth="1"/>
    <col min="2" max="2" width="25.21875" bestFit="1" customWidth="1"/>
  </cols>
  <sheetData>
    <row r="3" spans="1:2">
      <c r="A3" s="2" t="s">
        <v>2</v>
      </c>
      <c r="B3" t="s">
        <v>29</v>
      </c>
    </row>
    <row r="4" spans="1:2">
      <c r="A4" s="3" t="s">
        <v>30</v>
      </c>
      <c r="B4" s="5"/>
    </row>
    <row r="5" spans="1:2">
      <c r="A5" s="4" t="s">
        <v>3</v>
      </c>
      <c r="B5" s="5"/>
    </row>
    <row r="6" spans="1:2">
      <c r="A6" s="3" t="s">
        <v>17</v>
      </c>
      <c r="B6" s="5">
        <v>289</v>
      </c>
    </row>
    <row r="7" spans="1:2">
      <c r="A7" s="4" t="s">
        <v>5</v>
      </c>
      <c r="B7" s="5">
        <v>54</v>
      </c>
    </row>
    <row r="8" spans="1:2">
      <c r="A8" s="4" t="s">
        <v>6</v>
      </c>
      <c r="B8" s="5">
        <v>56</v>
      </c>
    </row>
    <row r="9" spans="1:2">
      <c r="A9" s="4" t="s">
        <v>7</v>
      </c>
      <c r="B9" s="5">
        <v>27</v>
      </c>
    </row>
    <row r="10" spans="1:2">
      <c r="A10" s="4" t="s">
        <v>8</v>
      </c>
      <c r="B10" s="5">
        <v>7</v>
      </c>
    </row>
    <row r="11" spans="1:2">
      <c r="A11" s="4" t="s">
        <v>9</v>
      </c>
      <c r="B11" s="5">
        <v>7</v>
      </c>
    </row>
    <row r="12" spans="1:2">
      <c r="A12" s="4" t="s">
        <v>10</v>
      </c>
      <c r="B12" s="5">
        <v>4</v>
      </c>
    </row>
    <row r="13" spans="1:2">
      <c r="A13" s="4" t="s">
        <v>11</v>
      </c>
      <c r="B13" s="5">
        <v>6</v>
      </c>
    </row>
    <row r="14" spans="1:2">
      <c r="A14" s="4" t="s">
        <v>12</v>
      </c>
      <c r="B14" s="5">
        <v>11</v>
      </c>
    </row>
    <row r="15" spans="1:2">
      <c r="A15" s="4" t="s">
        <v>13</v>
      </c>
      <c r="B15" s="5">
        <v>15</v>
      </c>
    </row>
    <row r="16" spans="1:2">
      <c r="A16" s="4" t="s">
        <v>14</v>
      </c>
      <c r="B16" s="5">
        <v>19</v>
      </c>
    </row>
    <row r="17" spans="1:2">
      <c r="A17" s="4" t="s">
        <v>15</v>
      </c>
      <c r="B17" s="5">
        <v>30</v>
      </c>
    </row>
    <row r="18" spans="1:2">
      <c r="A18" s="4" t="s">
        <v>16</v>
      </c>
      <c r="B18" s="5">
        <v>53</v>
      </c>
    </row>
    <row r="19" spans="1:2">
      <c r="A19" s="3" t="s">
        <v>18</v>
      </c>
      <c r="B19" s="5">
        <v>302</v>
      </c>
    </row>
    <row r="20" spans="1:2">
      <c r="A20" s="4" t="s">
        <v>5</v>
      </c>
      <c r="B20" s="5">
        <v>58</v>
      </c>
    </row>
    <row r="21" spans="1:2">
      <c r="A21" s="4" t="s">
        <v>6</v>
      </c>
      <c r="B21" s="5">
        <v>75</v>
      </c>
    </row>
    <row r="22" spans="1:2">
      <c r="A22" s="4" t="s">
        <v>7</v>
      </c>
      <c r="B22" s="5">
        <v>23</v>
      </c>
    </row>
    <row r="23" spans="1:2">
      <c r="A23" s="4" t="s">
        <v>8</v>
      </c>
      <c r="B23" s="5">
        <v>7</v>
      </c>
    </row>
    <row r="24" spans="1:2">
      <c r="A24" s="4" t="s">
        <v>9</v>
      </c>
      <c r="B24" s="5">
        <v>4</v>
      </c>
    </row>
    <row r="25" spans="1:2">
      <c r="A25" s="4" t="s">
        <v>10</v>
      </c>
      <c r="B25" s="5">
        <v>4</v>
      </c>
    </row>
    <row r="26" spans="1:2">
      <c r="A26" s="4" t="s">
        <v>11</v>
      </c>
      <c r="B26" s="5">
        <v>7</v>
      </c>
    </row>
    <row r="27" spans="1:2">
      <c r="A27" s="4" t="s">
        <v>12</v>
      </c>
      <c r="B27" s="5">
        <v>12</v>
      </c>
    </row>
    <row r="28" spans="1:2">
      <c r="A28" s="4" t="s">
        <v>13</v>
      </c>
      <c r="B28" s="5">
        <v>18</v>
      </c>
    </row>
    <row r="29" spans="1:2">
      <c r="A29" s="4" t="s">
        <v>14</v>
      </c>
      <c r="B29" s="5">
        <v>20</v>
      </c>
    </row>
    <row r="30" spans="1:2">
      <c r="A30" s="4" t="s">
        <v>15</v>
      </c>
      <c r="B30" s="5">
        <v>30</v>
      </c>
    </row>
    <row r="31" spans="1:2">
      <c r="A31" s="4" t="s">
        <v>16</v>
      </c>
      <c r="B31" s="5">
        <v>44</v>
      </c>
    </row>
    <row r="32" spans="1:2">
      <c r="A32" s="3" t="s">
        <v>19</v>
      </c>
      <c r="B32" s="5">
        <v>308</v>
      </c>
    </row>
    <row r="33" spans="1:2">
      <c r="A33" s="4" t="s">
        <v>5</v>
      </c>
      <c r="B33" s="5">
        <v>65</v>
      </c>
    </row>
    <row r="34" spans="1:2">
      <c r="A34" s="4" t="s">
        <v>6</v>
      </c>
      <c r="B34" s="5">
        <v>62</v>
      </c>
    </row>
    <row r="35" spans="1:2">
      <c r="A35" s="4" t="s">
        <v>7</v>
      </c>
      <c r="B35" s="5">
        <v>29</v>
      </c>
    </row>
    <row r="36" spans="1:2">
      <c r="A36" s="4" t="s">
        <v>8</v>
      </c>
      <c r="B36" s="5">
        <v>9</v>
      </c>
    </row>
    <row r="37" spans="1:2">
      <c r="A37" s="4" t="s">
        <v>9</v>
      </c>
      <c r="B37" s="5">
        <v>5</v>
      </c>
    </row>
    <row r="38" spans="1:2">
      <c r="A38" s="4" t="s">
        <v>10</v>
      </c>
      <c r="B38" s="5">
        <v>4</v>
      </c>
    </row>
    <row r="39" spans="1:2">
      <c r="A39" s="4" t="s">
        <v>11</v>
      </c>
      <c r="B39" s="5">
        <v>6</v>
      </c>
    </row>
    <row r="40" spans="1:2">
      <c r="A40" s="4" t="s">
        <v>12</v>
      </c>
      <c r="B40" s="5">
        <v>11</v>
      </c>
    </row>
    <row r="41" spans="1:2">
      <c r="A41" s="4" t="s">
        <v>13</v>
      </c>
      <c r="B41" s="5">
        <v>16</v>
      </c>
    </row>
    <row r="42" spans="1:2">
      <c r="A42" s="4" t="s">
        <v>14</v>
      </c>
      <c r="B42" s="5">
        <v>20</v>
      </c>
    </row>
    <row r="43" spans="1:2">
      <c r="A43" s="4" t="s">
        <v>15</v>
      </c>
      <c r="B43" s="5">
        <v>35</v>
      </c>
    </row>
    <row r="44" spans="1:2">
      <c r="A44" s="4" t="s">
        <v>16</v>
      </c>
      <c r="B44" s="5">
        <v>46</v>
      </c>
    </row>
    <row r="45" spans="1:2">
      <c r="A45" s="3" t="s">
        <v>20</v>
      </c>
      <c r="B45" s="5">
        <v>344</v>
      </c>
    </row>
    <row r="46" spans="1:2">
      <c r="A46" s="4" t="s">
        <v>5</v>
      </c>
      <c r="B46" s="5">
        <v>66</v>
      </c>
    </row>
    <row r="47" spans="1:2">
      <c r="A47" s="4" t="s">
        <v>6</v>
      </c>
      <c r="B47" s="5">
        <v>71</v>
      </c>
    </row>
    <row r="48" spans="1:2">
      <c r="A48" s="4" t="s">
        <v>7</v>
      </c>
      <c r="B48" s="5">
        <v>22</v>
      </c>
    </row>
    <row r="49" spans="1:2">
      <c r="A49" s="4" t="s">
        <v>8</v>
      </c>
      <c r="B49" s="5">
        <v>9</v>
      </c>
    </row>
    <row r="50" spans="1:2">
      <c r="A50" s="4" t="s">
        <v>9</v>
      </c>
      <c r="B50" s="5">
        <v>4</v>
      </c>
    </row>
    <row r="51" spans="1:2">
      <c r="A51" s="4" t="s">
        <v>10</v>
      </c>
      <c r="B51" s="5">
        <v>5</v>
      </c>
    </row>
    <row r="52" spans="1:2">
      <c r="A52" s="4" t="s">
        <v>11</v>
      </c>
      <c r="B52" s="5">
        <v>8</v>
      </c>
    </row>
    <row r="53" spans="1:2">
      <c r="A53" s="4" t="s">
        <v>12</v>
      </c>
      <c r="B53" s="5">
        <v>13</v>
      </c>
    </row>
    <row r="54" spans="1:2">
      <c r="A54" s="4" t="s">
        <v>13</v>
      </c>
      <c r="B54" s="5">
        <v>16</v>
      </c>
    </row>
    <row r="55" spans="1:2">
      <c r="A55" s="4" t="s">
        <v>14</v>
      </c>
      <c r="B55" s="5">
        <v>20</v>
      </c>
    </row>
    <row r="56" spans="1:2">
      <c r="A56" s="4" t="s">
        <v>15</v>
      </c>
      <c r="B56" s="5">
        <v>39</v>
      </c>
    </row>
    <row r="57" spans="1:2">
      <c r="A57" s="4" t="s">
        <v>16</v>
      </c>
      <c r="B57" s="5">
        <v>71</v>
      </c>
    </row>
    <row r="58" spans="1:2">
      <c r="A58" s="3" t="s">
        <v>21</v>
      </c>
      <c r="B58" s="5">
        <v>326</v>
      </c>
    </row>
    <row r="59" spans="1:2">
      <c r="A59" s="4" t="s">
        <v>5</v>
      </c>
      <c r="B59" s="5">
        <v>64</v>
      </c>
    </row>
    <row r="60" spans="1:2">
      <c r="A60" s="4" t="s">
        <v>6</v>
      </c>
      <c r="B60" s="5">
        <v>68</v>
      </c>
    </row>
    <row r="61" spans="1:2">
      <c r="A61" s="4" t="s">
        <v>7</v>
      </c>
      <c r="B61" s="5">
        <v>33</v>
      </c>
    </row>
    <row r="62" spans="1:2">
      <c r="A62" s="4" t="s">
        <v>8</v>
      </c>
      <c r="B62" s="5">
        <v>10</v>
      </c>
    </row>
    <row r="63" spans="1:2">
      <c r="A63" s="4" t="s">
        <v>9</v>
      </c>
      <c r="B63" s="5">
        <v>5</v>
      </c>
    </row>
    <row r="64" spans="1:2">
      <c r="A64" s="4" t="s">
        <v>10</v>
      </c>
      <c r="B64" s="5">
        <v>5</v>
      </c>
    </row>
    <row r="65" spans="1:2">
      <c r="A65" s="4" t="s">
        <v>11</v>
      </c>
      <c r="B65" s="5">
        <v>7</v>
      </c>
    </row>
    <row r="66" spans="1:2">
      <c r="A66" s="4" t="s">
        <v>12</v>
      </c>
      <c r="B66" s="5">
        <v>13</v>
      </c>
    </row>
    <row r="67" spans="1:2">
      <c r="A67" s="4" t="s">
        <v>13</v>
      </c>
      <c r="B67" s="5">
        <v>16</v>
      </c>
    </row>
    <row r="68" spans="1:2">
      <c r="A68" s="4" t="s">
        <v>14</v>
      </c>
      <c r="B68" s="5">
        <v>20</v>
      </c>
    </row>
    <row r="69" spans="1:2">
      <c r="A69" s="4" t="s">
        <v>15</v>
      </c>
      <c r="B69" s="5">
        <v>30</v>
      </c>
    </row>
    <row r="70" spans="1:2">
      <c r="A70" s="4" t="s">
        <v>16</v>
      </c>
      <c r="B70" s="5">
        <v>55</v>
      </c>
    </row>
    <row r="71" spans="1:2">
      <c r="A71" s="3" t="s">
        <v>22</v>
      </c>
      <c r="B71" s="5">
        <v>355</v>
      </c>
    </row>
    <row r="72" spans="1:2">
      <c r="A72" s="4" t="s">
        <v>5</v>
      </c>
      <c r="B72" s="5">
        <v>66</v>
      </c>
    </row>
    <row r="73" spans="1:2">
      <c r="A73" s="4" t="s">
        <v>6</v>
      </c>
      <c r="B73" s="5">
        <v>71</v>
      </c>
    </row>
    <row r="74" spans="1:2">
      <c r="A74" s="4" t="s">
        <v>7</v>
      </c>
      <c r="B74" s="5">
        <v>24</v>
      </c>
    </row>
    <row r="75" spans="1:2">
      <c r="A75" s="4" t="s">
        <v>8</v>
      </c>
      <c r="B75" s="5">
        <v>12</v>
      </c>
    </row>
    <row r="76" spans="1:2">
      <c r="A76" s="4" t="s">
        <v>9</v>
      </c>
      <c r="B76" s="5">
        <v>7</v>
      </c>
    </row>
    <row r="77" spans="1:2">
      <c r="A77" s="4" t="s">
        <v>10</v>
      </c>
      <c r="B77" s="5">
        <v>6</v>
      </c>
    </row>
    <row r="78" spans="1:2">
      <c r="A78" s="4" t="s">
        <v>11</v>
      </c>
      <c r="B78" s="5">
        <v>9</v>
      </c>
    </row>
    <row r="79" spans="1:2">
      <c r="A79" s="4" t="s">
        <v>12</v>
      </c>
      <c r="B79" s="5">
        <v>16</v>
      </c>
    </row>
    <row r="80" spans="1:2">
      <c r="A80" s="4" t="s">
        <v>13</v>
      </c>
      <c r="B80" s="5">
        <v>19</v>
      </c>
    </row>
    <row r="81" spans="1:2">
      <c r="A81" s="4" t="s">
        <v>14</v>
      </c>
      <c r="B81" s="5">
        <v>21</v>
      </c>
    </row>
    <row r="82" spans="1:2">
      <c r="A82" s="4" t="s">
        <v>15</v>
      </c>
      <c r="B82" s="5">
        <v>42</v>
      </c>
    </row>
    <row r="83" spans="1:2">
      <c r="A83" s="4" t="s">
        <v>16</v>
      </c>
      <c r="B83" s="5">
        <v>62</v>
      </c>
    </row>
    <row r="84" spans="1:2">
      <c r="A84" s="3" t="s">
        <v>23</v>
      </c>
      <c r="B84" s="5">
        <v>351</v>
      </c>
    </row>
    <row r="85" spans="1:2">
      <c r="A85" s="4" t="s">
        <v>5</v>
      </c>
      <c r="B85" s="5">
        <v>68</v>
      </c>
    </row>
    <row r="86" spans="1:2">
      <c r="A86" s="4" t="s">
        <v>6</v>
      </c>
      <c r="B86" s="5">
        <v>67</v>
      </c>
    </row>
    <row r="87" spans="1:2">
      <c r="A87" s="4" t="s">
        <v>7</v>
      </c>
      <c r="B87" s="5">
        <v>42</v>
      </c>
    </row>
    <row r="88" spans="1:2">
      <c r="A88" s="4" t="s">
        <v>8</v>
      </c>
      <c r="B88" s="5">
        <v>6</v>
      </c>
    </row>
    <row r="89" spans="1:2">
      <c r="A89" s="4" t="s">
        <v>9</v>
      </c>
      <c r="B89" s="5">
        <v>5</v>
      </c>
    </row>
    <row r="90" spans="1:2">
      <c r="A90" s="4" t="s">
        <v>10</v>
      </c>
      <c r="B90" s="5">
        <v>7</v>
      </c>
    </row>
    <row r="91" spans="1:2">
      <c r="A91" s="4" t="s">
        <v>11</v>
      </c>
      <c r="B91" s="5">
        <v>10</v>
      </c>
    </row>
    <row r="92" spans="1:2">
      <c r="A92" s="4" t="s">
        <v>12</v>
      </c>
      <c r="B92" s="5">
        <v>14</v>
      </c>
    </row>
    <row r="93" spans="1:2">
      <c r="A93" s="4" t="s">
        <v>13</v>
      </c>
      <c r="B93" s="5">
        <v>15</v>
      </c>
    </row>
    <row r="94" spans="1:2">
      <c r="A94" s="4" t="s">
        <v>14</v>
      </c>
      <c r="B94" s="5">
        <v>18</v>
      </c>
    </row>
    <row r="95" spans="1:2">
      <c r="A95" s="4" t="s">
        <v>15</v>
      </c>
      <c r="B95" s="5">
        <v>41</v>
      </c>
    </row>
    <row r="96" spans="1:2">
      <c r="A96" s="4" t="s">
        <v>16</v>
      </c>
      <c r="B96" s="5">
        <v>58</v>
      </c>
    </row>
    <row r="97" spans="1:2">
      <c r="A97" s="3" t="s">
        <v>24</v>
      </c>
      <c r="B97" s="5">
        <v>360</v>
      </c>
    </row>
    <row r="98" spans="1:2">
      <c r="A98" s="4" t="s">
        <v>5</v>
      </c>
      <c r="B98" s="5">
        <v>91</v>
      </c>
    </row>
    <row r="99" spans="1:2">
      <c r="A99" s="4" t="s">
        <v>6</v>
      </c>
      <c r="B99" s="5">
        <v>57</v>
      </c>
    </row>
    <row r="100" spans="1:2">
      <c r="A100" s="4" t="s">
        <v>7</v>
      </c>
      <c r="B100" s="5">
        <v>15</v>
      </c>
    </row>
    <row r="101" spans="1:2">
      <c r="A101" s="4" t="s">
        <v>8</v>
      </c>
      <c r="B101" s="5">
        <v>5</v>
      </c>
    </row>
    <row r="102" spans="1:2">
      <c r="A102" s="4" t="s">
        <v>9</v>
      </c>
      <c r="B102" s="5">
        <v>6</v>
      </c>
    </row>
    <row r="103" spans="1:2">
      <c r="A103" s="4" t="s">
        <v>10</v>
      </c>
      <c r="B103" s="5">
        <v>5</v>
      </c>
    </row>
    <row r="104" spans="1:2">
      <c r="A104" s="4" t="s">
        <v>11</v>
      </c>
      <c r="B104" s="5">
        <v>8</v>
      </c>
    </row>
    <row r="105" spans="1:2">
      <c r="A105" s="4" t="s">
        <v>12</v>
      </c>
      <c r="B105" s="5">
        <v>13</v>
      </c>
    </row>
    <row r="106" spans="1:2">
      <c r="A106" s="4" t="s">
        <v>13</v>
      </c>
      <c r="B106" s="5">
        <v>15</v>
      </c>
    </row>
    <row r="107" spans="1:2">
      <c r="A107" s="4" t="s">
        <v>14</v>
      </c>
      <c r="B107" s="5">
        <v>23</v>
      </c>
    </row>
    <row r="108" spans="1:2">
      <c r="A108" s="4" t="s">
        <v>15</v>
      </c>
      <c r="B108" s="5">
        <v>40</v>
      </c>
    </row>
    <row r="109" spans="1:2">
      <c r="A109" s="4" t="s">
        <v>16</v>
      </c>
      <c r="B109" s="5">
        <v>82</v>
      </c>
    </row>
    <row r="110" spans="1:2">
      <c r="A110" s="3" t="s">
        <v>25</v>
      </c>
      <c r="B110" s="5">
        <v>396</v>
      </c>
    </row>
    <row r="111" spans="1:2">
      <c r="A111" s="4" t="s">
        <v>5</v>
      </c>
      <c r="B111" s="5">
        <v>100</v>
      </c>
    </row>
    <row r="112" spans="1:2">
      <c r="A112" s="4" t="s">
        <v>6</v>
      </c>
      <c r="B112" s="5">
        <v>84</v>
      </c>
    </row>
    <row r="113" spans="1:2">
      <c r="A113" s="4" t="s">
        <v>7</v>
      </c>
      <c r="B113" s="5">
        <v>27</v>
      </c>
    </row>
    <row r="114" spans="1:2">
      <c r="A114" s="4" t="s">
        <v>8</v>
      </c>
      <c r="B114" s="5">
        <v>11</v>
      </c>
    </row>
    <row r="115" spans="1:2">
      <c r="A115" s="4" t="s">
        <v>9</v>
      </c>
      <c r="B115" s="5">
        <v>7</v>
      </c>
    </row>
    <row r="116" spans="1:2">
      <c r="A116" s="4" t="s">
        <v>10</v>
      </c>
      <c r="B116" s="5">
        <v>6</v>
      </c>
    </row>
    <row r="117" spans="1:2">
      <c r="A117" s="4" t="s">
        <v>11</v>
      </c>
      <c r="B117" s="5">
        <v>11</v>
      </c>
    </row>
    <row r="118" spans="1:2">
      <c r="A118" s="4" t="s">
        <v>12</v>
      </c>
      <c r="B118" s="5">
        <v>15</v>
      </c>
    </row>
    <row r="119" spans="1:2">
      <c r="A119" s="4" t="s">
        <v>13</v>
      </c>
      <c r="B119" s="5">
        <v>16</v>
      </c>
    </row>
    <row r="120" spans="1:2">
      <c r="A120" s="4" t="s">
        <v>14</v>
      </c>
      <c r="B120" s="5">
        <v>21</v>
      </c>
    </row>
    <row r="121" spans="1:2">
      <c r="A121" s="4" t="s">
        <v>15</v>
      </c>
      <c r="B121" s="5">
        <v>33</v>
      </c>
    </row>
    <row r="122" spans="1:2">
      <c r="A122" s="4" t="s">
        <v>16</v>
      </c>
      <c r="B122" s="5">
        <v>65</v>
      </c>
    </row>
    <row r="123" spans="1:2">
      <c r="A123" s="3" t="s">
        <v>26</v>
      </c>
      <c r="B123" s="5">
        <v>361</v>
      </c>
    </row>
    <row r="124" spans="1:2">
      <c r="A124" s="4" t="s">
        <v>5</v>
      </c>
      <c r="B124" s="5">
        <v>76</v>
      </c>
    </row>
    <row r="125" spans="1:2">
      <c r="A125" s="4" t="s">
        <v>6</v>
      </c>
      <c r="B125" s="5">
        <v>73</v>
      </c>
    </row>
    <row r="126" spans="1:2">
      <c r="A126" s="4" t="s">
        <v>7</v>
      </c>
      <c r="B126" s="5">
        <v>23</v>
      </c>
    </row>
    <row r="127" spans="1:2">
      <c r="A127" s="4" t="s">
        <v>8</v>
      </c>
      <c r="B127" s="5">
        <v>10</v>
      </c>
    </row>
    <row r="128" spans="1:2">
      <c r="A128" s="4" t="s">
        <v>9</v>
      </c>
      <c r="B128" s="5">
        <v>6</v>
      </c>
    </row>
    <row r="129" spans="1:2">
      <c r="A129" s="4" t="s">
        <v>10</v>
      </c>
      <c r="B129" s="5">
        <v>6</v>
      </c>
    </row>
    <row r="130" spans="1:2">
      <c r="A130" s="4" t="s">
        <v>11</v>
      </c>
      <c r="B130" s="5">
        <v>10</v>
      </c>
    </row>
    <row r="131" spans="1:2">
      <c r="A131" s="4" t="s">
        <v>12</v>
      </c>
      <c r="B131" s="5">
        <v>14</v>
      </c>
    </row>
    <row r="132" spans="1:2">
      <c r="A132" s="4" t="s">
        <v>13</v>
      </c>
      <c r="B132" s="5">
        <v>16</v>
      </c>
    </row>
    <row r="133" spans="1:2">
      <c r="A133" s="4" t="s">
        <v>14</v>
      </c>
      <c r="B133" s="5">
        <v>22</v>
      </c>
    </row>
    <row r="134" spans="1:2">
      <c r="A134" s="4" t="s">
        <v>15</v>
      </c>
      <c r="B134" s="5">
        <v>37</v>
      </c>
    </row>
    <row r="135" spans="1:2">
      <c r="A135" s="4" t="s">
        <v>16</v>
      </c>
      <c r="B135" s="5">
        <v>68</v>
      </c>
    </row>
    <row r="136" spans="1:2">
      <c r="A136" s="3" t="s">
        <v>27</v>
      </c>
      <c r="B136" s="5">
        <v>353</v>
      </c>
    </row>
    <row r="137" spans="1:2">
      <c r="A137" s="4" t="s">
        <v>5</v>
      </c>
      <c r="B137" s="5">
        <v>79</v>
      </c>
    </row>
    <row r="138" spans="1:2">
      <c r="A138" s="4" t="s">
        <v>6</v>
      </c>
      <c r="B138" s="5">
        <v>54</v>
      </c>
    </row>
    <row r="139" spans="1:2">
      <c r="A139" s="4" t="s">
        <v>7</v>
      </c>
      <c r="B139" s="5">
        <v>29</v>
      </c>
    </row>
    <row r="140" spans="1:2">
      <c r="A140" s="4" t="s">
        <v>8</v>
      </c>
      <c r="B140" s="5">
        <v>10</v>
      </c>
    </row>
    <row r="141" spans="1:2">
      <c r="A141" s="4" t="s">
        <v>9</v>
      </c>
      <c r="B141" s="5">
        <v>6</v>
      </c>
    </row>
    <row r="142" spans="1:2">
      <c r="A142" s="4" t="s">
        <v>10</v>
      </c>
      <c r="B142" s="5">
        <v>6</v>
      </c>
    </row>
    <row r="143" spans="1:2">
      <c r="A143" s="4" t="s">
        <v>11</v>
      </c>
      <c r="B143" s="5">
        <v>9</v>
      </c>
    </row>
    <row r="144" spans="1:2">
      <c r="A144" s="4" t="s">
        <v>12</v>
      </c>
      <c r="B144" s="5">
        <v>14</v>
      </c>
    </row>
    <row r="145" spans="1:2">
      <c r="A145" s="4" t="s">
        <v>13</v>
      </c>
      <c r="B145" s="5">
        <v>18</v>
      </c>
    </row>
    <row r="146" spans="1:2">
      <c r="A146" s="4" t="s">
        <v>14</v>
      </c>
      <c r="B146" s="5">
        <v>22</v>
      </c>
    </row>
    <row r="147" spans="1:2">
      <c r="A147" s="4" t="s">
        <v>15</v>
      </c>
      <c r="B147" s="5">
        <v>34</v>
      </c>
    </row>
    <row r="148" spans="1:2">
      <c r="A148" s="4" t="s">
        <v>16</v>
      </c>
      <c r="B148" s="5">
        <v>72</v>
      </c>
    </row>
    <row r="149" spans="1:2">
      <c r="A149" s="3" t="s">
        <v>28</v>
      </c>
      <c r="B149" s="5">
        <v>348</v>
      </c>
    </row>
    <row r="150" spans="1:2">
      <c r="A150" s="4" t="s">
        <v>5</v>
      </c>
      <c r="B150" s="5">
        <v>70</v>
      </c>
    </row>
    <row r="151" spans="1:2">
      <c r="A151" s="4" t="s">
        <v>6</v>
      </c>
      <c r="B151" s="5">
        <v>63</v>
      </c>
    </row>
    <row r="152" spans="1:2">
      <c r="A152" s="4" t="s">
        <v>7</v>
      </c>
      <c r="B152" s="5">
        <v>22</v>
      </c>
    </row>
    <row r="153" spans="1:2">
      <c r="A153" s="4" t="s">
        <v>8</v>
      </c>
      <c r="B153" s="5">
        <v>10</v>
      </c>
    </row>
    <row r="154" spans="1:2">
      <c r="A154" s="4" t="s">
        <v>9</v>
      </c>
      <c r="B154" s="5">
        <v>6</v>
      </c>
    </row>
    <row r="155" spans="1:2">
      <c r="A155" s="4" t="s">
        <v>10</v>
      </c>
      <c r="B155" s="5">
        <v>6</v>
      </c>
    </row>
    <row r="156" spans="1:2">
      <c r="A156" s="4" t="s">
        <v>11</v>
      </c>
      <c r="B156" s="5">
        <v>11</v>
      </c>
    </row>
    <row r="157" spans="1:2">
      <c r="A157" s="4" t="s">
        <v>12</v>
      </c>
      <c r="B157" s="5">
        <v>17</v>
      </c>
    </row>
    <row r="158" spans="1:2">
      <c r="A158" s="4" t="s">
        <v>13</v>
      </c>
      <c r="B158" s="5">
        <v>18</v>
      </c>
    </row>
    <row r="159" spans="1:2">
      <c r="A159" s="4" t="s">
        <v>14</v>
      </c>
      <c r="B159" s="5">
        <v>22</v>
      </c>
    </row>
    <row r="160" spans="1:2">
      <c r="A160" s="4" t="s">
        <v>15</v>
      </c>
      <c r="B160" s="5">
        <v>39</v>
      </c>
    </row>
    <row r="161" spans="1:2">
      <c r="A161" s="4" t="s">
        <v>16</v>
      </c>
      <c r="B161" s="5">
        <v>64</v>
      </c>
    </row>
    <row r="162" spans="1:2">
      <c r="A162" s="3" t="s">
        <v>4</v>
      </c>
      <c r="B162" s="5">
        <v>4093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workbookViewId="0">
      <selection activeCell="C26" sqref="C26"/>
    </sheetView>
  </sheetViews>
  <sheetFormatPr defaultRowHeight="14.4"/>
  <cols>
    <col min="1" max="1" width="10.5546875" style="1" bestFit="1" customWidth="1"/>
  </cols>
  <sheetData>
    <row r="1" spans="1:2">
      <c r="A1" s="1" t="s">
        <v>0</v>
      </c>
      <c r="B1" t="s">
        <v>31</v>
      </c>
    </row>
    <row r="2" spans="1:2">
      <c r="A2" s="1">
        <v>41640</v>
      </c>
      <c r="B2">
        <v>54</v>
      </c>
    </row>
    <row r="3" spans="1:2">
      <c r="A3" s="1">
        <v>41671</v>
      </c>
      <c r="B3">
        <v>56</v>
      </c>
    </row>
    <row r="4" spans="1:2">
      <c r="A4" s="1">
        <v>41699</v>
      </c>
      <c r="B4">
        <v>27</v>
      </c>
    </row>
    <row r="5" spans="1:2">
      <c r="A5" s="1">
        <v>41730</v>
      </c>
      <c r="B5">
        <v>7</v>
      </c>
    </row>
    <row r="6" spans="1:2">
      <c r="A6" s="1">
        <v>41760</v>
      </c>
      <c r="B6">
        <v>7</v>
      </c>
    </row>
    <row r="7" spans="1:2">
      <c r="A7" s="1">
        <v>41791</v>
      </c>
      <c r="B7">
        <v>4</v>
      </c>
    </row>
    <row r="8" spans="1:2">
      <c r="A8" s="1">
        <v>41821</v>
      </c>
      <c r="B8">
        <v>6</v>
      </c>
    </row>
    <row r="9" spans="1:2">
      <c r="A9" s="1">
        <v>41852</v>
      </c>
      <c r="B9">
        <v>11</v>
      </c>
    </row>
    <row r="10" spans="1:2">
      <c r="A10" s="1">
        <v>41883</v>
      </c>
      <c r="B10">
        <v>15</v>
      </c>
    </row>
    <row r="11" spans="1:2">
      <c r="A11" s="1">
        <v>41913</v>
      </c>
      <c r="B11">
        <v>19</v>
      </c>
    </row>
    <row r="12" spans="1:2">
      <c r="A12" s="1">
        <v>41944</v>
      </c>
      <c r="B12">
        <v>30</v>
      </c>
    </row>
    <row r="13" spans="1:2">
      <c r="A13" s="1">
        <v>41974</v>
      </c>
      <c r="B13">
        <v>53</v>
      </c>
    </row>
    <row r="14" spans="1:2">
      <c r="A14" s="1">
        <v>42005</v>
      </c>
      <c r="B14">
        <v>58</v>
      </c>
    </row>
    <row r="15" spans="1:2">
      <c r="A15" s="1">
        <v>42036</v>
      </c>
      <c r="B15">
        <v>75</v>
      </c>
    </row>
    <row r="16" spans="1:2">
      <c r="A16" s="1">
        <v>42064</v>
      </c>
      <c r="B16">
        <v>23</v>
      </c>
    </row>
    <row r="17" spans="1:2">
      <c r="A17" s="1">
        <v>42095</v>
      </c>
      <c r="B17">
        <v>7</v>
      </c>
    </row>
    <row r="18" spans="1:2">
      <c r="A18" s="1">
        <v>42125</v>
      </c>
      <c r="B18">
        <v>4</v>
      </c>
    </row>
    <row r="19" spans="1:2">
      <c r="A19" s="1">
        <v>42156</v>
      </c>
      <c r="B19">
        <v>4</v>
      </c>
    </row>
    <row r="20" spans="1:2">
      <c r="A20" s="1">
        <v>42186</v>
      </c>
      <c r="B20">
        <v>7</v>
      </c>
    </row>
    <row r="21" spans="1:2">
      <c r="A21" s="1">
        <v>42217</v>
      </c>
      <c r="B21">
        <v>12</v>
      </c>
    </row>
    <row r="22" spans="1:2">
      <c r="A22" s="1">
        <v>42248</v>
      </c>
      <c r="B22">
        <v>18</v>
      </c>
    </row>
    <row r="23" spans="1:2">
      <c r="A23" s="1">
        <v>42278</v>
      </c>
      <c r="B23">
        <v>20</v>
      </c>
    </row>
    <row r="24" spans="1:2">
      <c r="A24" s="1">
        <v>42309</v>
      </c>
      <c r="B24">
        <v>30</v>
      </c>
    </row>
    <row r="25" spans="1:2">
      <c r="A25" s="1">
        <v>42339</v>
      </c>
      <c r="B25">
        <v>44</v>
      </c>
    </row>
    <row r="26" spans="1:2">
      <c r="A26" s="1">
        <v>42370</v>
      </c>
      <c r="B26">
        <v>65</v>
      </c>
    </row>
    <row r="27" spans="1:2">
      <c r="A27" s="1">
        <v>42401</v>
      </c>
      <c r="B27">
        <v>62</v>
      </c>
    </row>
    <row r="28" spans="1:2">
      <c r="A28" s="1">
        <v>42430</v>
      </c>
      <c r="B28">
        <v>29</v>
      </c>
    </row>
    <row r="29" spans="1:2">
      <c r="A29" s="1">
        <v>42461</v>
      </c>
      <c r="B29">
        <v>9</v>
      </c>
    </row>
    <row r="30" spans="1:2">
      <c r="A30" s="1">
        <v>42491</v>
      </c>
      <c r="B30">
        <v>5</v>
      </c>
    </row>
    <row r="31" spans="1:2">
      <c r="A31" s="1">
        <v>42522</v>
      </c>
      <c r="B31">
        <v>4</v>
      </c>
    </row>
    <row r="32" spans="1:2">
      <c r="A32" s="1">
        <v>42552</v>
      </c>
      <c r="B32">
        <v>6</v>
      </c>
    </row>
    <row r="33" spans="1:2">
      <c r="A33" s="1">
        <v>42583</v>
      </c>
      <c r="B33">
        <v>11</v>
      </c>
    </row>
    <row r="34" spans="1:2">
      <c r="A34" s="1">
        <v>42614</v>
      </c>
      <c r="B34">
        <v>16</v>
      </c>
    </row>
    <row r="35" spans="1:2">
      <c r="A35" s="1">
        <v>42644</v>
      </c>
      <c r="B35">
        <v>20</v>
      </c>
    </row>
    <row r="36" spans="1:2">
      <c r="A36" s="1">
        <v>42675</v>
      </c>
      <c r="B36">
        <v>35</v>
      </c>
    </row>
    <row r="37" spans="1:2">
      <c r="A37" s="1">
        <v>42705</v>
      </c>
      <c r="B37">
        <v>46</v>
      </c>
    </row>
    <row r="38" spans="1:2">
      <c r="A38" s="1">
        <v>42736</v>
      </c>
      <c r="B38">
        <v>66</v>
      </c>
    </row>
    <row r="39" spans="1:2">
      <c r="A39" s="1">
        <v>42767</v>
      </c>
      <c r="B39">
        <v>71</v>
      </c>
    </row>
    <row r="40" spans="1:2">
      <c r="A40" s="1">
        <v>42795</v>
      </c>
      <c r="B40">
        <v>22</v>
      </c>
    </row>
    <row r="41" spans="1:2">
      <c r="A41" s="1">
        <v>42826</v>
      </c>
      <c r="B41">
        <v>9</v>
      </c>
    </row>
    <row r="42" spans="1:2">
      <c r="A42" s="1">
        <v>42856</v>
      </c>
      <c r="B42">
        <v>4</v>
      </c>
    </row>
    <row r="43" spans="1:2">
      <c r="A43" s="1">
        <v>42887</v>
      </c>
      <c r="B43">
        <v>5</v>
      </c>
    </row>
    <row r="44" spans="1:2">
      <c r="A44" s="1">
        <v>42917</v>
      </c>
      <c r="B44">
        <v>8</v>
      </c>
    </row>
    <row r="45" spans="1:2">
      <c r="A45" s="1">
        <v>42948</v>
      </c>
      <c r="B45">
        <v>13</v>
      </c>
    </row>
    <row r="46" spans="1:2">
      <c r="A46" s="1">
        <v>42979</v>
      </c>
      <c r="B46">
        <v>16</v>
      </c>
    </row>
    <row r="47" spans="1:2">
      <c r="A47" s="1">
        <v>43009</v>
      </c>
      <c r="B47">
        <v>20</v>
      </c>
    </row>
    <row r="48" spans="1:2">
      <c r="A48" s="1">
        <v>43040</v>
      </c>
      <c r="B48">
        <v>39</v>
      </c>
    </row>
    <row r="49" spans="1:2">
      <c r="A49" s="1">
        <v>43070</v>
      </c>
      <c r="B49">
        <v>71</v>
      </c>
    </row>
    <row r="50" spans="1:2">
      <c r="A50" s="1">
        <v>43101</v>
      </c>
      <c r="B50">
        <v>64</v>
      </c>
    </row>
    <row r="51" spans="1:2">
      <c r="A51" s="1">
        <v>43132</v>
      </c>
      <c r="B51">
        <v>68</v>
      </c>
    </row>
    <row r="52" spans="1:2">
      <c r="A52" s="1">
        <v>43160</v>
      </c>
      <c r="B52">
        <v>33</v>
      </c>
    </row>
    <row r="53" spans="1:2">
      <c r="A53" s="1">
        <v>43191</v>
      </c>
      <c r="B53">
        <v>10</v>
      </c>
    </row>
    <row r="54" spans="1:2">
      <c r="A54" s="1">
        <v>43221</v>
      </c>
      <c r="B54">
        <v>5</v>
      </c>
    </row>
    <row r="55" spans="1:2">
      <c r="A55" s="1">
        <v>43252</v>
      </c>
      <c r="B55">
        <v>5</v>
      </c>
    </row>
    <row r="56" spans="1:2">
      <c r="A56" s="1">
        <v>43282</v>
      </c>
      <c r="B56">
        <v>7</v>
      </c>
    </row>
    <row r="57" spans="1:2">
      <c r="A57" s="1">
        <v>43313</v>
      </c>
      <c r="B57">
        <v>13</v>
      </c>
    </row>
    <row r="58" spans="1:2">
      <c r="A58" s="1">
        <v>43344</v>
      </c>
      <c r="B58">
        <v>16</v>
      </c>
    </row>
    <row r="59" spans="1:2">
      <c r="A59" s="1">
        <v>43374</v>
      </c>
      <c r="B59">
        <v>20</v>
      </c>
    </row>
    <row r="60" spans="1:2">
      <c r="A60" s="1">
        <v>43405</v>
      </c>
      <c r="B60">
        <v>30</v>
      </c>
    </row>
    <row r="61" spans="1:2">
      <c r="A61" s="1">
        <v>43435</v>
      </c>
      <c r="B61">
        <v>55</v>
      </c>
    </row>
    <row r="62" spans="1:2">
      <c r="A62" s="1">
        <v>43466</v>
      </c>
      <c r="B62">
        <v>66</v>
      </c>
    </row>
    <row r="63" spans="1:2">
      <c r="A63" s="1">
        <v>43497</v>
      </c>
      <c r="B63">
        <v>71</v>
      </c>
    </row>
    <row r="64" spans="1:2">
      <c r="A64" s="1">
        <v>43525</v>
      </c>
      <c r="B64">
        <v>24</v>
      </c>
    </row>
    <row r="65" spans="1:2">
      <c r="A65" s="1">
        <v>43556</v>
      </c>
      <c r="B65">
        <v>12</v>
      </c>
    </row>
    <row r="66" spans="1:2">
      <c r="A66" s="1">
        <v>43586</v>
      </c>
      <c r="B66">
        <v>7</v>
      </c>
    </row>
    <row r="67" spans="1:2">
      <c r="A67" s="1">
        <v>43617</v>
      </c>
      <c r="B67">
        <v>6</v>
      </c>
    </row>
    <row r="68" spans="1:2">
      <c r="A68" s="1">
        <v>43647</v>
      </c>
      <c r="B68">
        <v>9</v>
      </c>
    </row>
    <row r="69" spans="1:2">
      <c r="A69" s="1">
        <v>43678</v>
      </c>
      <c r="B69">
        <v>16</v>
      </c>
    </row>
    <row r="70" spans="1:2">
      <c r="A70" s="1">
        <v>43709</v>
      </c>
      <c r="B70">
        <v>19</v>
      </c>
    </row>
    <row r="71" spans="1:2">
      <c r="A71" s="1">
        <v>43739</v>
      </c>
      <c r="B71">
        <v>21</v>
      </c>
    </row>
    <row r="72" spans="1:2">
      <c r="A72" s="1">
        <v>43770</v>
      </c>
      <c r="B72">
        <v>42</v>
      </c>
    </row>
    <row r="73" spans="1:2">
      <c r="A73" s="1">
        <v>43800</v>
      </c>
      <c r="B73">
        <v>62</v>
      </c>
    </row>
    <row r="74" spans="1:2">
      <c r="A74" s="1">
        <v>43831</v>
      </c>
      <c r="B74">
        <v>68</v>
      </c>
    </row>
    <row r="75" spans="1:2">
      <c r="A75" s="1">
        <v>43862</v>
      </c>
      <c r="B75">
        <v>67</v>
      </c>
    </row>
    <row r="76" spans="1:2">
      <c r="A76" s="1">
        <v>43891</v>
      </c>
      <c r="B76">
        <v>42</v>
      </c>
    </row>
    <row r="77" spans="1:2">
      <c r="A77" s="1">
        <v>43922</v>
      </c>
      <c r="B77">
        <v>6</v>
      </c>
    </row>
    <row r="78" spans="1:2">
      <c r="A78" s="1">
        <v>43952</v>
      </c>
      <c r="B78">
        <v>5</v>
      </c>
    </row>
    <row r="79" spans="1:2">
      <c r="A79" s="1">
        <v>43983</v>
      </c>
      <c r="B79">
        <v>7</v>
      </c>
    </row>
    <row r="80" spans="1:2">
      <c r="A80" s="1">
        <v>44013</v>
      </c>
      <c r="B80">
        <v>10</v>
      </c>
    </row>
    <row r="81" spans="1:2">
      <c r="A81" s="1">
        <v>44044</v>
      </c>
      <c r="B81">
        <v>14</v>
      </c>
    </row>
    <row r="82" spans="1:2">
      <c r="A82" s="1">
        <v>44075</v>
      </c>
      <c r="B82">
        <v>15</v>
      </c>
    </row>
    <row r="83" spans="1:2">
      <c r="A83" s="1">
        <v>44105</v>
      </c>
      <c r="B83">
        <v>18</v>
      </c>
    </row>
    <row r="84" spans="1:2">
      <c r="A84" s="1">
        <v>44136</v>
      </c>
      <c r="B84">
        <v>41</v>
      </c>
    </row>
    <row r="85" spans="1:2">
      <c r="A85" s="1">
        <v>44166</v>
      </c>
      <c r="B85">
        <v>58</v>
      </c>
    </row>
    <row r="86" spans="1:2">
      <c r="A86" s="1">
        <v>44197</v>
      </c>
      <c r="B86">
        <v>91</v>
      </c>
    </row>
    <row r="87" spans="1:2">
      <c r="A87" s="1">
        <v>44228</v>
      </c>
      <c r="B87">
        <v>57</v>
      </c>
    </row>
    <row r="88" spans="1:2">
      <c r="A88" s="1">
        <v>44256</v>
      </c>
      <c r="B88">
        <v>15</v>
      </c>
    </row>
    <row r="89" spans="1:2">
      <c r="A89" s="1">
        <v>44287</v>
      </c>
      <c r="B89">
        <v>5</v>
      </c>
    </row>
    <row r="90" spans="1:2">
      <c r="A90" s="1">
        <v>44317</v>
      </c>
      <c r="B90">
        <v>6</v>
      </c>
    </row>
    <row r="91" spans="1:2">
      <c r="A91" s="1">
        <v>44348</v>
      </c>
      <c r="B91">
        <v>5</v>
      </c>
    </row>
    <row r="92" spans="1:2">
      <c r="A92" s="1">
        <v>44378</v>
      </c>
      <c r="B92">
        <v>8</v>
      </c>
    </row>
    <row r="93" spans="1:2">
      <c r="A93" s="1">
        <v>44409</v>
      </c>
      <c r="B93">
        <v>13</v>
      </c>
    </row>
    <row r="94" spans="1:2">
      <c r="A94" s="1">
        <v>44440</v>
      </c>
      <c r="B94">
        <v>15</v>
      </c>
    </row>
    <row r="95" spans="1:2">
      <c r="A95" s="1">
        <v>44470</v>
      </c>
      <c r="B95">
        <v>23</v>
      </c>
    </row>
    <row r="96" spans="1:2">
      <c r="A96" s="1">
        <v>44501</v>
      </c>
      <c r="B96">
        <v>40</v>
      </c>
    </row>
    <row r="97" spans="1:2">
      <c r="A97" s="1">
        <v>44531</v>
      </c>
      <c r="B97">
        <v>82</v>
      </c>
    </row>
    <row r="98" spans="1:2">
      <c r="A98" s="1">
        <v>44562</v>
      </c>
      <c r="B98">
        <v>100</v>
      </c>
    </row>
    <row r="99" spans="1:2">
      <c r="A99" s="1">
        <v>44593</v>
      </c>
      <c r="B99">
        <v>84</v>
      </c>
    </row>
    <row r="100" spans="1:2">
      <c r="A100" s="1">
        <v>44621</v>
      </c>
      <c r="B100">
        <v>27</v>
      </c>
    </row>
    <row r="101" spans="1:2">
      <c r="A101" s="1">
        <v>44652</v>
      </c>
      <c r="B101">
        <v>11</v>
      </c>
    </row>
    <row r="102" spans="1:2">
      <c r="A102" s="1">
        <v>44682</v>
      </c>
      <c r="B102">
        <v>7</v>
      </c>
    </row>
    <row r="103" spans="1:2">
      <c r="A103" s="1">
        <v>44713</v>
      </c>
      <c r="B103">
        <v>6</v>
      </c>
    </row>
    <row r="104" spans="1:2">
      <c r="A104" s="1">
        <v>44743</v>
      </c>
      <c r="B104">
        <v>11</v>
      </c>
    </row>
    <row r="105" spans="1:2">
      <c r="A105" s="1">
        <v>44774</v>
      </c>
      <c r="B105">
        <v>15</v>
      </c>
    </row>
    <row r="106" spans="1:2">
      <c r="A106" s="1">
        <v>44805</v>
      </c>
      <c r="B106">
        <v>16</v>
      </c>
    </row>
    <row r="107" spans="1:2">
      <c r="A107" s="1">
        <v>44835</v>
      </c>
      <c r="B107">
        <v>21</v>
      </c>
    </row>
    <row r="108" spans="1:2">
      <c r="A108" s="1">
        <v>44866</v>
      </c>
      <c r="B108">
        <v>33</v>
      </c>
    </row>
    <row r="109" spans="1:2">
      <c r="A109" s="1">
        <v>44896</v>
      </c>
      <c r="B109">
        <v>65</v>
      </c>
    </row>
    <row r="110" spans="1:2">
      <c r="A110" s="1">
        <v>44927</v>
      </c>
      <c r="B110">
        <v>76</v>
      </c>
    </row>
    <row r="111" spans="1:2">
      <c r="A111" s="1">
        <v>44958</v>
      </c>
      <c r="B111">
        <v>73</v>
      </c>
    </row>
    <row r="112" spans="1:2">
      <c r="A112" s="1">
        <v>44986</v>
      </c>
      <c r="B112">
        <v>23</v>
      </c>
    </row>
    <row r="113" spans="1:2">
      <c r="A113" s="1">
        <v>45017</v>
      </c>
      <c r="B113">
        <v>10</v>
      </c>
    </row>
    <row r="114" spans="1:2">
      <c r="A114" s="1">
        <v>45047</v>
      </c>
      <c r="B114">
        <v>6</v>
      </c>
    </row>
    <row r="115" spans="1:2">
      <c r="A115" s="1">
        <v>45078</v>
      </c>
      <c r="B115">
        <v>6</v>
      </c>
    </row>
    <row r="116" spans="1:2">
      <c r="A116" s="1">
        <v>45108</v>
      </c>
      <c r="B116">
        <v>10</v>
      </c>
    </row>
    <row r="117" spans="1:2">
      <c r="A117" s="1">
        <v>45139</v>
      </c>
      <c r="B117">
        <v>14</v>
      </c>
    </row>
    <row r="118" spans="1:2">
      <c r="A118" s="1">
        <v>45170</v>
      </c>
      <c r="B118">
        <v>16</v>
      </c>
    </row>
    <row r="119" spans="1:2">
      <c r="A119" s="1">
        <v>45200</v>
      </c>
      <c r="B119">
        <v>22</v>
      </c>
    </row>
    <row r="120" spans="1:2">
      <c r="A120" s="1">
        <v>45231</v>
      </c>
      <c r="B120">
        <v>37</v>
      </c>
    </row>
    <row r="121" spans="1:2">
      <c r="A121" s="1">
        <v>45261</v>
      </c>
      <c r="B121">
        <v>68</v>
      </c>
    </row>
    <row r="122" spans="1:2">
      <c r="A122" s="1">
        <v>45292</v>
      </c>
      <c r="B122">
        <v>79</v>
      </c>
    </row>
    <row r="123" spans="1:2">
      <c r="A123" s="1">
        <v>45323</v>
      </c>
      <c r="B123">
        <v>54</v>
      </c>
    </row>
    <row r="124" spans="1:2">
      <c r="A124" s="1">
        <v>45352</v>
      </c>
      <c r="B124">
        <v>29</v>
      </c>
    </row>
    <row r="125" spans="1:2">
      <c r="A125" s="1">
        <v>45383</v>
      </c>
      <c r="B125">
        <v>10</v>
      </c>
    </row>
    <row r="126" spans="1:2">
      <c r="A126" s="1">
        <v>45413</v>
      </c>
      <c r="B126">
        <v>6</v>
      </c>
    </row>
    <row r="127" spans="1:2">
      <c r="A127" s="1">
        <v>45444</v>
      </c>
      <c r="B127">
        <v>6</v>
      </c>
    </row>
    <row r="128" spans="1:2">
      <c r="A128" s="1">
        <v>45474</v>
      </c>
      <c r="B128">
        <v>9</v>
      </c>
    </row>
    <row r="129" spans="1:2">
      <c r="A129" s="1">
        <v>45505</v>
      </c>
      <c r="B129">
        <v>14</v>
      </c>
    </row>
    <row r="130" spans="1:2">
      <c r="A130" s="1">
        <v>45536</v>
      </c>
      <c r="B130">
        <v>18</v>
      </c>
    </row>
    <row r="131" spans="1:2">
      <c r="A131" s="1">
        <v>45566</v>
      </c>
      <c r="B131">
        <v>22</v>
      </c>
    </row>
    <row r="132" spans="1:2">
      <c r="A132" s="1">
        <v>45597</v>
      </c>
      <c r="B132">
        <v>34</v>
      </c>
    </row>
    <row r="133" spans="1:2">
      <c r="A133" s="1">
        <v>45627</v>
      </c>
      <c r="B133">
        <v>72</v>
      </c>
    </row>
    <row r="134" spans="1:2">
      <c r="A134" s="1">
        <v>45658</v>
      </c>
      <c r="B134">
        <v>70</v>
      </c>
    </row>
    <row r="135" spans="1:2">
      <c r="A135" s="1">
        <v>45689</v>
      </c>
      <c r="B135">
        <v>63</v>
      </c>
    </row>
    <row r="136" spans="1:2">
      <c r="A136" s="1">
        <v>45717</v>
      </c>
      <c r="B136">
        <v>22</v>
      </c>
    </row>
    <row r="137" spans="1:2">
      <c r="A137" s="1">
        <v>45748</v>
      </c>
      <c r="B137">
        <v>10</v>
      </c>
    </row>
    <row r="138" spans="1:2">
      <c r="A138" s="1">
        <v>45778</v>
      </c>
      <c r="B138">
        <v>6</v>
      </c>
    </row>
    <row r="139" spans="1:2">
      <c r="A139" s="1">
        <v>45809</v>
      </c>
      <c r="B139">
        <v>6</v>
      </c>
    </row>
    <row r="140" spans="1:2">
      <c r="A140" s="1">
        <v>45839</v>
      </c>
      <c r="B140">
        <v>11</v>
      </c>
    </row>
    <row r="141" spans="1:2">
      <c r="A141" s="1">
        <v>45870</v>
      </c>
      <c r="B141">
        <v>17</v>
      </c>
    </row>
    <row r="142" spans="1:2">
      <c r="A142" s="1">
        <v>45901</v>
      </c>
      <c r="B142">
        <v>18</v>
      </c>
    </row>
    <row r="143" spans="1:2">
      <c r="A143" s="1">
        <v>45931</v>
      </c>
      <c r="B143">
        <v>22</v>
      </c>
    </row>
    <row r="144" spans="1:2">
      <c r="A144" s="1">
        <v>45962</v>
      </c>
      <c r="B144">
        <v>39</v>
      </c>
    </row>
    <row r="145" spans="1:2">
      <c r="A145" s="1">
        <v>45992</v>
      </c>
      <c r="B145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2D55-187B-4848-A022-F1DC46610083}">
  <dimension ref="A1:J145"/>
  <sheetViews>
    <sheetView workbookViewId="0">
      <selection activeCell="I9" sqref="I9"/>
    </sheetView>
  </sheetViews>
  <sheetFormatPr defaultRowHeight="14.4"/>
  <cols>
    <col min="1" max="1" width="10.5546875" style="1" bestFit="1" customWidth="1"/>
  </cols>
  <sheetData>
    <row r="1" spans="1:10">
      <c r="A1" s="1" t="s">
        <v>0</v>
      </c>
      <c r="B1" t="s">
        <v>1</v>
      </c>
      <c r="H1" t="s">
        <v>45</v>
      </c>
    </row>
    <row r="2" spans="1:10">
      <c r="A2" s="1">
        <v>41640</v>
      </c>
      <c r="B2">
        <v>54</v>
      </c>
    </row>
    <row r="3" spans="1:10">
      <c r="A3" s="1">
        <v>41671</v>
      </c>
      <c r="B3">
        <v>56</v>
      </c>
    </row>
    <row r="4" spans="1:10">
      <c r="A4" s="1">
        <v>41699</v>
      </c>
      <c r="B4">
        <v>27</v>
      </c>
    </row>
    <row r="5" spans="1:10">
      <c r="A5" s="1">
        <v>41730</v>
      </c>
      <c r="B5">
        <v>7</v>
      </c>
    </row>
    <row r="6" spans="1:10">
      <c r="A6" s="1">
        <v>41760</v>
      </c>
      <c r="B6">
        <v>7</v>
      </c>
    </row>
    <row r="7" spans="1:10">
      <c r="A7" s="1">
        <v>41791</v>
      </c>
      <c r="B7">
        <v>4</v>
      </c>
      <c r="D7" t="s">
        <v>32</v>
      </c>
      <c r="J7" t="s">
        <v>46</v>
      </c>
    </row>
    <row r="8" spans="1:10">
      <c r="A8" s="1">
        <v>41821</v>
      </c>
      <c r="B8">
        <v>6</v>
      </c>
      <c r="C8" s="6">
        <f>(0.5*B2 + SUM(B3:B13) + 0.5*B14) / 12</f>
        <v>24.25</v>
      </c>
      <c r="D8" s="6">
        <f>B8-C8</f>
        <v>-18.25</v>
      </c>
      <c r="E8" t="s">
        <v>33</v>
      </c>
      <c r="F8" s="7">
        <f>AVERAGEIF(H:H, 1, D:D)</f>
        <v>44.44318181818182</v>
      </c>
      <c r="H8">
        <f>MONTH(A:A)</f>
        <v>7</v>
      </c>
      <c r="I8" t="s">
        <v>47</v>
      </c>
      <c r="J8">
        <f>LINEST(F8:F19)</f>
        <v>-1.3658746556473835</v>
      </c>
    </row>
    <row r="9" spans="1:10">
      <c r="A9" s="1">
        <v>41852</v>
      </c>
      <c r="B9">
        <v>11</v>
      </c>
      <c r="C9" s="6">
        <f>(0.5*B3 + SUM(B4:B14) + 0.5*B15) / 12</f>
        <v>25.208333333333332</v>
      </c>
      <c r="D9" s="6">
        <f t="shared" ref="D9:D72" si="0">B9-C9</f>
        <v>-14.208333333333332</v>
      </c>
      <c r="E9" t="s">
        <v>34</v>
      </c>
      <c r="F9" s="7">
        <f>AVERAGEIF(H:H, 2, D:D)</f>
        <v>39.128787878787882</v>
      </c>
      <c r="H9">
        <f>MONTH(A:A)</f>
        <v>8</v>
      </c>
      <c r="I9" t="s">
        <v>48</v>
      </c>
      <c r="J9">
        <f t="shared" ref="J9:J10" si="1">LINEST(F9:F20)</f>
        <v>0.63793971180334874</v>
      </c>
    </row>
    <row r="10" spans="1:10">
      <c r="A10" s="1">
        <v>41883</v>
      </c>
      <c r="B10">
        <v>15</v>
      </c>
      <c r="C10" s="6">
        <f>(0.5*B4 + SUM(B5:B15) + 0.5*B16) / 12</f>
        <v>25.833333333333332</v>
      </c>
      <c r="D10" s="6">
        <f t="shared" si="0"/>
        <v>-10.833333333333332</v>
      </c>
      <c r="E10" t="s">
        <v>35</v>
      </c>
      <c r="F10" s="7">
        <f>AVERAGEIF(H:H, 3, D:D)</f>
        <v>-2.3598484848484849</v>
      </c>
      <c r="H10">
        <f>MONTH(A:A)</f>
        <v>9</v>
      </c>
    </row>
    <row r="11" spans="1:10">
      <c r="A11" s="1">
        <v>41913</v>
      </c>
      <c r="B11">
        <v>19</v>
      </c>
      <c r="C11" s="6">
        <f>(0.5*B5 + SUM(B6:B16) + 0.5*B17) / 12</f>
        <v>25.666666666666668</v>
      </c>
      <c r="D11" s="6">
        <f t="shared" si="0"/>
        <v>-6.6666666666666679</v>
      </c>
      <c r="E11" t="s">
        <v>36</v>
      </c>
      <c r="F11" s="7">
        <f>AVERAGEIF(H:H, 4, D:D)</f>
        <v>-19.655303030303031</v>
      </c>
      <c r="H11">
        <f>MONTH(A:A)</f>
        <v>10</v>
      </c>
    </row>
    <row r="12" spans="1:10">
      <c r="A12" s="1">
        <v>41944</v>
      </c>
      <c r="B12">
        <v>30</v>
      </c>
      <c r="C12" s="6">
        <f>(0.5*B6 + SUM(B7:B17) + 0.5*B18) / 12</f>
        <v>25.541666666666668</v>
      </c>
      <c r="D12" s="6">
        <f t="shared" si="0"/>
        <v>4.4583333333333321</v>
      </c>
      <c r="E12" t="s">
        <v>37</v>
      </c>
      <c r="F12" s="7">
        <f>AVERAGEIF(H:H, 5, D:D)</f>
        <v>-23.155303030303031</v>
      </c>
      <c r="H12">
        <f>MONTH(A:A)</f>
        <v>11</v>
      </c>
    </row>
    <row r="13" spans="1:10">
      <c r="A13" s="1">
        <v>41974</v>
      </c>
      <c r="B13">
        <v>53</v>
      </c>
      <c r="C13" s="6">
        <f>(0.5*B7 + SUM(B8:B18) + 0.5*B19) / 12</f>
        <v>25.416666666666668</v>
      </c>
      <c r="D13" s="6">
        <f t="shared" si="0"/>
        <v>27.583333333333332</v>
      </c>
      <c r="E13" t="s">
        <v>38</v>
      </c>
      <c r="F13" s="7">
        <f>AVERAGEIF(H:H, 6, D:D)</f>
        <v>-23.321969696969699</v>
      </c>
      <c r="H13">
        <f>MONTH(A:A)</f>
        <v>12</v>
      </c>
    </row>
    <row r="14" spans="1:10">
      <c r="A14" s="1">
        <v>42005</v>
      </c>
      <c r="B14">
        <v>58</v>
      </c>
      <c r="C14" s="6">
        <f t="shared" ref="C14:C72" si="2">(0.5*B8 + SUM(B9:B19) + 0.5*B20) / 12</f>
        <v>25.458333333333332</v>
      </c>
      <c r="D14" s="6">
        <f t="shared" si="0"/>
        <v>32.541666666666671</v>
      </c>
      <c r="E14" t="s">
        <v>39</v>
      </c>
      <c r="F14" s="7">
        <f>AVERAGEIF(H:H, 7, D:D)</f>
        <v>-20.15909090909091</v>
      </c>
      <c r="H14">
        <f>MONTH(A:A)</f>
        <v>1</v>
      </c>
    </row>
    <row r="15" spans="1:10">
      <c r="A15" s="1">
        <v>42036</v>
      </c>
      <c r="B15">
        <v>75</v>
      </c>
      <c r="C15" s="6">
        <f t="shared" si="2"/>
        <v>25.541666666666668</v>
      </c>
      <c r="D15" s="6">
        <f t="shared" si="0"/>
        <v>49.458333333333329</v>
      </c>
      <c r="E15" t="s">
        <v>40</v>
      </c>
      <c r="F15" s="7">
        <f>AVERAGEIF(H:H, 8, D:D)</f>
        <v>-15.246212121212119</v>
      </c>
      <c r="H15">
        <f>MONTH(A:A)</f>
        <v>2</v>
      </c>
    </row>
    <row r="16" spans="1:10">
      <c r="A16" s="1">
        <v>42064</v>
      </c>
      <c r="B16">
        <v>23</v>
      </c>
      <c r="C16" s="6">
        <f t="shared" si="2"/>
        <v>25.708333333333332</v>
      </c>
      <c r="D16" s="6">
        <f t="shared" si="0"/>
        <v>-2.7083333333333321</v>
      </c>
      <c r="E16" t="s">
        <v>41</v>
      </c>
      <c r="F16" s="7">
        <f>AVERAGEIF(H:H, 9, D:D)</f>
        <v>-12.162878787878789</v>
      </c>
      <c r="H16">
        <f>MONTH(A:A)</f>
        <v>3</v>
      </c>
    </row>
    <row r="17" spans="1:8">
      <c r="A17" s="1">
        <v>42095</v>
      </c>
      <c r="B17">
        <v>7</v>
      </c>
      <c r="C17" s="6">
        <f t="shared" si="2"/>
        <v>25.875</v>
      </c>
      <c r="D17" s="6">
        <f t="shared" si="0"/>
        <v>-18.875</v>
      </c>
      <c r="E17" t="s">
        <v>42</v>
      </c>
      <c r="F17" s="7">
        <f>AVERAGEIF(H:H, 10, D:D)</f>
        <v>-7.9734848484848477</v>
      </c>
      <c r="H17">
        <f>MONTH(A:A)</f>
        <v>4</v>
      </c>
    </row>
    <row r="18" spans="1:8">
      <c r="A18" s="1">
        <v>42125</v>
      </c>
      <c r="B18">
        <v>4</v>
      </c>
      <c r="C18" s="6">
        <f t="shared" si="2"/>
        <v>25.916666666666668</v>
      </c>
      <c r="D18" s="6">
        <f t="shared" si="0"/>
        <v>-21.916666666666668</v>
      </c>
      <c r="E18" t="s">
        <v>43</v>
      </c>
      <c r="F18" s="7">
        <f>AVERAGEIF(H:H, 11, D:D)</f>
        <v>7.0189393939393936</v>
      </c>
      <c r="H18">
        <f>MONTH(A:A)</f>
        <v>5</v>
      </c>
    </row>
    <row r="19" spans="1:8">
      <c r="A19" s="1">
        <v>42156</v>
      </c>
      <c r="B19">
        <v>4</v>
      </c>
      <c r="C19" s="6">
        <f t="shared" si="2"/>
        <v>25.541666666666668</v>
      </c>
      <c r="D19" s="6">
        <f t="shared" si="0"/>
        <v>-21.541666666666668</v>
      </c>
      <c r="E19" t="s">
        <v>44</v>
      </c>
      <c r="F19" s="7">
        <f>AVERAGEIF(H:H, 12, D:D)</f>
        <v>32.924242424242429</v>
      </c>
      <c r="H19">
        <f>MONTH(A:A)</f>
        <v>6</v>
      </c>
    </row>
    <row r="20" spans="1:8">
      <c r="A20" s="1">
        <v>42186</v>
      </c>
      <c r="B20">
        <v>7</v>
      </c>
      <c r="C20" s="6">
        <f t="shared" si="2"/>
        <v>25.458333333333332</v>
      </c>
      <c r="D20" s="6">
        <f t="shared" si="0"/>
        <v>-18.458333333333332</v>
      </c>
      <c r="F20">
        <f>SUM(F8:F19)</f>
        <v>-0.51893939393938382</v>
      </c>
      <c r="H20">
        <f>MONTH(A:A)</f>
        <v>7</v>
      </c>
    </row>
    <row r="21" spans="1:8">
      <c r="A21" s="1">
        <v>42217</v>
      </c>
      <c r="B21">
        <v>12</v>
      </c>
      <c r="C21" s="6">
        <f t="shared" si="2"/>
        <v>25.208333333333332</v>
      </c>
      <c r="D21" s="6">
        <f t="shared" si="0"/>
        <v>-13.208333333333332</v>
      </c>
      <c r="H21">
        <f>MONTH(A:A)</f>
        <v>8</v>
      </c>
    </row>
    <row r="22" spans="1:8">
      <c r="A22" s="1">
        <v>42248</v>
      </c>
      <c r="B22">
        <v>18</v>
      </c>
      <c r="C22" s="6">
        <f t="shared" si="2"/>
        <v>24.916666666666668</v>
      </c>
      <c r="D22" s="6">
        <f t="shared" si="0"/>
        <v>-6.9166666666666679</v>
      </c>
      <c r="H22">
        <f>MONTH(A:A)</f>
        <v>9</v>
      </c>
    </row>
    <row r="23" spans="1:8">
      <c r="A23" s="1">
        <v>42278</v>
      </c>
      <c r="B23">
        <v>20</v>
      </c>
      <c r="C23" s="6">
        <f t="shared" si="2"/>
        <v>25.25</v>
      </c>
      <c r="D23" s="6">
        <f t="shared" si="0"/>
        <v>-5.25</v>
      </c>
      <c r="H23">
        <f>MONTH(A:A)</f>
        <v>10</v>
      </c>
    </row>
    <row r="24" spans="1:8">
      <c r="A24" s="1">
        <v>42309</v>
      </c>
      <c r="B24">
        <v>30</v>
      </c>
      <c r="C24" s="6">
        <f t="shared" si="2"/>
        <v>25.375</v>
      </c>
      <c r="D24" s="6">
        <f t="shared" si="0"/>
        <v>4.625</v>
      </c>
      <c r="H24">
        <f>MONTH(A:A)</f>
        <v>11</v>
      </c>
    </row>
    <row r="25" spans="1:8">
      <c r="A25" s="1">
        <v>42339</v>
      </c>
      <c r="B25">
        <v>44</v>
      </c>
      <c r="C25" s="6">
        <f t="shared" si="2"/>
        <v>25.416666666666668</v>
      </c>
      <c r="D25" s="6">
        <f t="shared" si="0"/>
        <v>18.583333333333332</v>
      </c>
      <c r="H25">
        <f>MONTH(A:A)</f>
        <v>12</v>
      </c>
    </row>
    <row r="26" spans="1:8">
      <c r="A26" s="1">
        <v>42370</v>
      </c>
      <c r="B26">
        <v>65</v>
      </c>
      <c r="C26" s="6">
        <f t="shared" si="2"/>
        <v>25.375</v>
      </c>
      <c r="D26" s="6">
        <f t="shared" si="0"/>
        <v>39.625</v>
      </c>
      <c r="H26">
        <f>MONTH(A:A)</f>
        <v>1</v>
      </c>
    </row>
    <row r="27" spans="1:8">
      <c r="A27" s="1">
        <v>42401</v>
      </c>
      <c r="B27">
        <v>62</v>
      </c>
      <c r="C27" s="6">
        <f t="shared" si="2"/>
        <v>25.291666666666668</v>
      </c>
      <c r="D27" s="6">
        <f t="shared" si="0"/>
        <v>36.708333333333329</v>
      </c>
      <c r="H27">
        <f>MONTH(A:A)</f>
        <v>2</v>
      </c>
    </row>
    <row r="28" spans="1:8">
      <c r="A28" s="1">
        <v>42430</v>
      </c>
      <c r="B28">
        <v>29</v>
      </c>
      <c r="C28" s="6">
        <f t="shared" si="2"/>
        <v>25.166666666666668</v>
      </c>
      <c r="D28" s="6">
        <f t="shared" si="0"/>
        <v>3.8333333333333321</v>
      </c>
      <c r="H28">
        <f>MONTH(A:A)</f>
        <v>3</v>
      </c>
    </row>
    <row r="29" spans="1:8">
      <c r="A29" s="1">
        <v>42461</v>
      </c>
      <c r="B29">
        <v>9</v>
      </c>
      <c r="C29" s="6">
        <f t="shared" si="2"/>
        <v>25.083333333333332</v>
      </c>
      <c r="D29" s="6">
        <f t="shared" si="0"/>
        <v>-16.083333333333332</v>
      </c>
      <c r="H29">
        <f>MONTH(A:A)</f>
        <v>4</v>
      </c>
    </row>
    <row r="30" spans="1:8">
      <c r="A30" s="1">
        <v>42491</v>
      </c>
      <c r="B30">
        <v>5</v>
      </c>
      <c r="C30" s="6">
        <f t="shared" si="2"/>
        <v>25.291666666666668</v>
      </c>
      <c r="D30" s="6">
        <f t="shared" si="0"/>
        <v>-20.291666666666668</v>
      </c>
      <c r="H30">
        <f>MONTH(A:A)</f>
        <v>5</v>
      </c>
    </row>
    <row r="31" spans="1:8">
      <c r="A31" s="1">
        <v>42522</v>
      </c>
      <c r="B31">
        <v>4</v>
      </c>
      <c r="C31" s="6">
        <f t="shared" si="2"/>
        <v>25.583333333333332</v>
      </c>
      <c r="D31" s="6">
        <f t="shared" si="0"/>
        <v>-21.583333333333332</v>
      </c>
      <c r="H31">
        <f>MONTH(A:A)</f>
        <v>6</v>
      </c>
    </row>
    <row r="32" spans="1:8">
      <c r="A32" s="1">
        <v>42552</v>
      </c>
      <c r="B32">
        <v>6</v>
      </c>
      <c r="C32" s="6">
        <f t="shared" si="2"/>
        <v>25.708333333333332</v>
      </c>
      <c r="D32" s="6">
        <f t="shared" si="0"/>
        <v>-19.708333333333332</v>
      </c>
      <c r="H32">
        <f>MONTH(A:A)</f>
        <v>7</v>
      </c>
    </row>
    <row r="33" spans="1:8">
      <c r="A33" s="1">
        <v>42583</v>
      </c>
      <c r="B33">
        <v>11</v>
      </c>
      <c r="C33" s="6">
        <f t="shared" si="2"/>
        <v>26.125</v>
      </c>
      <c r="D33" s="6">
        <f t="shared" si="0"/>
        <v>-15.125</v>
      </c>
      <c r="H33">
        <f>MONTH(A:A)</f>
        <v>8</v>
      </c>
    </row>
    <row r="34" spans="1:8">
      <c r="A34" s="1">
        <v>42614</v>
      </c>
      <c r="B34">
        <v>16</v>
      </c>
      <c r="C34" s="6">
        <f t="shared" si="2"/>
        <v>26.208333333333332</v>
      </c>
      <c r="D34" s="6">
        <f t="shared" si="0"/>
        <v>-10.208333333333332</v>
      </c>
      <c r="H34">
        <f>MONTH(A:A)</f>
        <v>9</v>
      </c>
    </row>
    <row r="35" spans="1:8">
      <c r="A35" s="1">
        <v>42644</v>
      </c>
      <c r="B35">
        <v>20</v>
      </c>
      <c r="C35" s="6">
        <f t="shared" si="2"/>
        <v>25.916666666666668</v>
      </c>
      <c r="D35" s="6">
        <f t="shared" si="0"/>
        <v>-5.9166666666666679</v>
      </c>
      <c r="H35">
        <f>MONTH(A:A)</f>
        <v>10</v>
      </c>
    </row>
    <row r="36" spans="1:8">
      <c r="A36" s="1">
        <v>42675</v>
      </c>
      <c r="B36">
        <v>35</v>
      </c>
      <c r="C36" s="6">
        <f t="shared" si="2"/>
        <v>25.875</v>
      </c>
      <c r="D36" s="6">
        <f t="shared" si="0"/>
        <v>9.125</v>
      </c>
      <c r="H36">
        <f>MONTH(A:A)</f>
        <v>11</v>
      </c>
    </row>
    <row r="37" spans="1:8">
      <c r="A37" s="1">
        <v>42705</v>
      </c>
      <c r="B37">
        <v>46</v>
      </c>
      <c r="C37" s="6">
        <f t="shared" si="2"/>
        <v>25.875</v>
      </c>
      <c r="D37" s="6">
        <f t="shared" si="0"/>
        <v>20.125</v>
      </c>
      <c r="H37">
        <f>MONTH(A:A)</f>
        <v>12</v>
      </c>
    </row>
    <row r="38" spans="1:8">
      <c r="A38" s="1">
        <v>42736</v>
      </c>
      <c r="B38">
        <v>66</v>
      </c>
      <c r="C38" s="6">
        <f t="shared" si="2"/>
        <v>26</v>
      </c>
      <c r="D38" s="6">
        <f t="shared" si="0"/>
        <v>40</v>
      </c>
      <c r="H38">
        <f>MONTH(A:A)</f>
        <v>1</v>
      </c>
    </row>
    <row r="39" spans="1:8">
      <c r="A39" s="1">
        <v>42767</v>
      </c>
      <c r="B39">
        <v>71</v>
      </c>
      <c r="C39" s="6">
        <f t="shared" si="2"/>
        <v>26.166666666666668</v>
      </c>
      <c r="D39" s="6">
        <f t="shared" si="0"/>
        <v>44.833333333333329</v>
      </c>
      <c r="H39">
        <f>MONTH(A:A)</f>
        <v>2</v>
      </c>
    </row>
    <row r="40" spans="1:8">
      <c r="A40" s="1">
        <v>42795</v>
      </c>
      <c r="B40">
        <v>22</v>
      </c>
      <c r="C40" s="6">
        <f t="shared" si="2"/>
        <v>26.25</v>
      </c>
      <c r="D40" s="6">
        <f t="shared" si="0"/>
        <v>-4.25</v>
      </c>
      <c r="H40">
        <f>MONTH(A:A)</f>
        <v>3</v>
      </c>
    </row>
    <row r="41" spans="1:8">
      <c r="A41" s="1">
        <v>42826</v>
      </c>
      <c r="B41">
        <v>9</v>
      </c>
      <c r="C41" s="6">
        <f t="shared" si="2"/>
        <v>26.25</v>
      </c>
      <c r="D41" s="6">
        <f t="shared" si="0"/>
        <v>-17.25</v>
      </c>
      <c r="H41">
        <f>MONTH(A:A)</f>
        <v>4</v>
      </c>
    </row>
    <row r="42" spans="1:8">
      <c r="A42" s="1">
        <v>42856</v>
      </c>
      <c r="B42">
        <v>4</v>
      </c>
      <c r="C42" s="6">
        <f t="shared" si="2"/>
        <v>26.416666666666668</v>
      </c>
      <c r="D42" s="6">
        <f t="shared" si="0"/>
        <v>-22.416666666666668</v>
      </c>
      <c r="H42">
        <f>MONTH(A:A)</f>
        <v>5</v>
      </c>
    </row>
    <row r="43" spans="1:8">
      <c r="A43" s="1">
        <v>42887</v>
      </c>
      <c r="B43">
        <v>5</v>
      </c>
      <c r="C43" s="6">
        <f t="shared" si="2"/>
        <v>27.625</v>
      </c>
      <c r="D43" s="6">
        <f t="shared" si="0"/>
        <v>-22.625</v>
      </c>
      <c r="H43">
        <f>MONTH(A:A)</f>
        <v>6</v>
      </c>
    </row>
    <row r="44" spans="1:8">
      <c r="A44" s="1">
        <v>42917</v>
      </c>
      <c r="B44">
        <v>8</v>
      </c>
      <c r="C44" s="6">
        <f t="shared" si="2"/>
        <v>28.583333333333332</v>
      </c>
      <c r="D44" s="6">
        <f t="shared" si="0"/>
        <v>-20.583333333333332</v>
      </c>
      <c r="H44">
        <f>MONTH(A:A)</f>
        <v>7</v>
      </c>
    </row>
    <row r="45" spans="1:8">
      <c r="A45" s="1">
        <v>42948</v>
      </c>
      <c r="B45">
        <v>13</v>
      </c>
      <c r="C45" s="6">
        <f t="shared" si="2"/>
        <v>28.375</v>
      </c>
      <c r="D45" s="6">
        <f t="shared" si="0"/>
        <v>-15.375</v>
      </c>
      <c r="H45">
        <f>MONTH(A:A)</f>
        <v>8</v>
      </c>
    </row>
    <row r="46" spans="1:8">
      <c r="A46" s="1">
        <v>42979</v>
      </c>
      <c r="B46">
        <v>16</v>
      </c>
      <c r="C46" s="6">
        <f t="shared" si="2"/>
        <v>28.708333333333332</v>
      </c>
      <c r="D46" s="6">
        <f t="shared" si="0"/>
        <v>-12.708333333333332</v>
      </c>
      <c r="H46">
        <f>MONTH(A:A)</f>
        <v>9</v>
      </c>
    </row>
    <row r="47" spans="1:8">
      <c r="A47" s="1">
        <v>43009</v>
      </c>
      <c r="B47">
        <v>20</v>
      </c>
      <c r="C47" s="6">
        <f t="shared" si="2"/>
        <v>29.208333333333332</v>
      </c>
      <c r="D47" s="6">
        <f t="shared" si="0"/>
        <v>-9.2083333333333321</v>
      </c>
      <c r="H47">
        <f>MONTH(A:A)</f>
        <v>10</v>
      </c>
    </row>
    <row r="48" spans="1:8">
      <c r="A48" s="1">
        <v>43040</v>
      </c>
      <c r="B48">
        <v>39</v>
      </c>
      <c r="C48" s="6">
        <f t="shared" si="2"/>
        <v>29.291666666666668</v>
      </c>
      <c r="D48" s="6">
        <f t="shared" si="0"/>
        <v>9.7083333333333321</v>
      </c>
      <c r="H48">
        <f>MONTH(A:A)</f>
        <v>11</v>
      </c>
    </row>
    <row r="49" spans="1:8">
      <c r="A49" s="1">
        <v>43070</v>
      </c>
      <c r="B49">
        <v>71</v>
      </c>
      <c r="C49" s="6">
        <f t="shared" si="2"/>
        <v>29.333333333333332</v>
      </c>
      <c r="D49" s="6">
        <f t="shared" si="0"/>
        <v>41.666666666666671</v>
      </c>
      <c r="H49">
        <f>MONTH(A:A)</f>
        <v>12</v>
      </c>
    </row>
    <row r="50" spans="1:8">
      <c r="A50" s="1">
        <v>43101</v>
      </c>
      <c r="B50">
        <v>64</v>
      </c>
      <c r="C50" s="6">
        <f t="shared" si="2"/>
        <v>29.291666666666668</v>
      </c>
      <c r="D50" s="6">
        <f t="shared" si="0"/>
        <v>34.708333333333329</v>
      </c>
      <c r="H50">
        <f>MONTH(A:A)</f>
        <v>1</v>
      </c>
    </row>
    <row r="51" spans="1:8">
      <c r="A51" s="1">
        <v>43132</v>
      </c>
      <c r="B51">
        <v>68</v>
      </c>
      <c r="C51" s="6">
        <f t="shared" si="2"/>
        <v>29.25</v>
      </c>
      <c r="D51" s="6">
        <f t="shared" si="0"/>
        <v>38.75</v>
      </c>
      <c r="H51">
        <f>MONTH(A:A)</f>
        <v>2</v>
      </c>
    </row>
    <row r="52" spans="1:8">
      <c r="A52" s="1">
        <v>43160</v>
      </c>
      <c r="B52">
        <v>33</v>
      </c>
      <c r="C52" s="6">
        <f t="shared" si="2"/>
        <v>29.25</v>
      </c>
      <c r="D52" s="6">
        <f t="shared" si="0"/>
        <v>3.75</v>
      </c>
      <c r="H52">
        <f>MONTH(A:A)</f>
        <v>3</v>
      </c>
    </row>
    <row r="53" spans="1:8">
      <c r="A53" s="1">
        <v>43191</v>
      </c>
      <c r="B53">
        <v>10</v>
      </c>
      <c r="C53" s="6">
        <f t="shared" si="2"/>
        <v>29.25</v>
      </c>
      <c r="D53" s="6">
        <f t="shared" si="0"/>
        <v>-19.25</v>
      </c>
      <c r="H53">
        <f>MONTH(A:A)</f>
        <v>4</v>
      </c>
    </row>
    <row r="54" spans="1:8">
      <c r="A54" s="1">
        <v>43221</v>
      </c>
      <c r="B54">
        <v>5</v>
      </c>
      <c r="C54" s="6">
        <f t="shared" si="2"/>
        <v>28.875</v>
      </c>
      <c r="D54" s="6">
        <f t="shared" si="0"/>
        <v>-23.875</v>
      </c>
      <c r="H54">
        <f>MONTH(A:A)</f>
        <v>5</v>
      </c>
    </row>
    <row r="55" spans="1:8">
      <c r="A55" s="1">
        <v>43252</v>
      </c>
      <c r="B55">
        <v>5</v>
      </c>
      <c r="C55" s="6">
        <f t="shared" si="2"/>
        <v>27.833333333333332</v>
      </c>
      <c r="D55" s="6">
        <f t="shared" si="0"/>
        <v>-22.833333333333332</v>
      </c>
      <c r="H55">
        <f>MONTH(A:A)</f>
        <v>6</v>
      </c>
    </row>
    <row r="56" spans="1:8">
      <c r="A56" s="1">
        <v>43282</v>
      </c>
      <c r="B56">
        <v>7</v>
      </c>
      <c r="C56" s="6">
        <f t="shared" si="2"/>
        <v>27.25</v>
      </c>
      <c r="D56" s="6">
        <f t="shared" si="0"/>
        <v>-20.25</v>
      </c>
      <c r="H56">
        <f>MONTH(A:A)</f>
        <v>7</v>
      </c>
    </row>
    <row r="57" spans="1:8">
      <c r="A57" s="1">
        <v>43313</v>
      </c>
      <c r="B57">
        <v>13</v>
      </c>
      <c r="C57" s="6">
        <f t="shared" si="2"/>
        <v>27.458333333333332</v>
      </c>
      <c r="D57" s="6">
        <f t="shared" si="0"/>
        <v>-14.458333333333332</v>
      </c>
      <c r="H57">
        <f>MONTH(A:A)</f>
        <v>8</v>
      </c>
    </row>
    <row r="58" spans="1:8">
      <c r="A58" s="1">
        <v>43344</v>
      </c>
      <c r="B58">
        <v>16</v>
      </c>
      <c r="C58" s="6">
        <f t="shared" si="2"/>
        <v>27.208333333333332</v>
      </c>
      <c r="D58" s="6">
        <f t="shared" si="0"/>
        <v>-11.208333333333332</v>
      </c>
      <c r="H58">
        <f>MONTH(A:A)</f>
        <v>9</v>
      </c>
    </row>
    <row r="59" spans="1:8">
      <c r="A59" s="1">
        <v>43374</v>
      </c>
      <c r="B59">
        <v>20</v>
      </c>
      <c r="C59" s="6">
        <f t="shared" si="2"/>
        <v>26.916666666666668</v>
      </c>
      <c r="D59" s="6">
        <f t="shared" si="0"/>
        <v>-6.9166666666666679</v>
      </c>
      <c r="H59">
        <f>MONTH(A:A)</f>
        <v>10</v>
      </c>
    </row>
    <row r="60" spans="1:8">
      <c r="A60" s="1">
        <v>43405</v>
      </c>
      <c r="B60">
        <v>30</v>
      </c>
      <c r="C60" s="6">
        <f t="shared" si="2"/>
        <v>27.083333333333332</v>
      </c>
      <c r="D60" s="6">
        <f t="shared" si="0"/>
        <v>2.9166666666666679</v>
      </c>
      <c r="H60">
        <f>MONTH(A:A)</f>
        <v>11</v>
      </c>
    </row>
    <row r="61" spans="1:8">
      <c r="A61" s="1">
        <v>43435</v>
      </c>
      <c r="B61">
        <v>55</v>
      </c>
      <c r="C61" s="6">
        <f t="shared" si="2"/>
        <v>27.208333333333332</v>
      </c>
      <c r="D61" s="6">
        <f t="shared" si="0"/>
        <v>27.791666666666668</v>
      </c>
      <c r="H61">
        <f>MONTH(A:A)</f>
        <v>12</v>
      </c>
    </row>
    <row r="62" spans="1:8">
      <c r="A62" s="1">
        <v>43466</v>
      </c>
      <c r="B62">
        <v>66</v>
      </c>
      <c r="C62" s="6">
        <f t="shared" si="2"/>
        <v>27.333333333333332</v>
      </c>
      <c r="D62" s="6">
        <f t="shared" si="0"/>
        <v>38.666666666666671</v>
      </c>
      <c r="H62">
        <f>MONTH(A:A)</f>
        <v>1</v>
      </c>
    </row>
    <row r="63" spans="1:8">
      <c r="A63" s="1">
        <v>43497</v>
      </c>
      <c r="B63">
        <v>71</v>
      </c>
      <c r="C63" s="6">
        <f t="shared" si="2"/>
        <v>27.541666666666668</v>
      </c>
      <c r="D63" s="6">
        <f t="shared" si="0"/>
        <v>43.458333333333329</v>
      </c>
      <c r="H63">
        <f>MONTH(A:A)</f>
        <v>2</v>
      </c>
    </row>
    <row r="64" spans="1:8">
      <c r="A64" s="1">
        <v>43525</v>
      </c>
      <c r="B64">
        <v>24</v>
      </c>
      <c r="C64" s="6">
        <f t="shared" si="2"/>
        <v>27.791666666666668</v>
      </c>
      <c r="D64" s="6">
        <f t="shared" si="0"/>
        <v>-3.7916666666666679</v>
      </c>
      <c r="H64">
        <f>MONTH(A:A)</f>
        <v>3</v>
      </c>
    </row>
    <row r="65" spans="1:8">
      <c r="A65" s="1">
        <v>43556</v>
      </c>
      <c r="B65">
        <v>12</v>
      </c>
      <c r="C65" s="6">
        <f t="shared" si="2"/>
        <v>27.958333333333332</v>
      </c>
      <c r="D65" s="6">
        <f t="shared" si="0"/>
        <v>-15.958333333333332</v>
      </c>
      <c r="H65">
        <f>MONTH(A:A)</f>
        <v>4</v>
      </c>
    </row>
    <row r="66" spans="1:8">
      <c r="A66" s="1">
        <v>43586</v>
      </c>
      <c r="B66">
        <v>7</v>
      </c>
      <c r="C66" s="6">
        <f t="shared" si="2"/>
        <v>28.5</v>
      </c>
      <c r="D66" s="6">
        <f t="shared" si="0"/>
        <v>-21.5</v>
      </c>
      <c r="H66">
        <f>MONTH(A:A)</f>
        <v>5</v>
      </c>
    </row>
    <row r="67" spans="1:8">
      <c r="A67" s="1">
        <v>43617</v>
      </c>
      <c r="B67">
        <v>6</v>
      </c>
      <c r="C67" s="6">
        <f t="shared" si="2"/>
        <v>29.291666666666668</v>
      </c>
      <c r="D67" s="6">
        <f t="shared" si="0"/>
        <v>-23.291666666666668</v>
      </c>
      <c r="H67">
        <f>MONTH(A:A)</f>
        <v>6</v>
      </c>
    </row>
    <row r="68" spans="1:8">
      <c r="A68" s="1">
        <v>43647</v>
      </c>
      <c r="B68">
        <v>9</v>
      </c>
      <c r="C68" s="6">
        <f t="shared" si="2"/>
        <v>29.666666666666668</v>
      </c>
      <c r="D68" s="6">
        <f t="shared" si="0"/>
        <v>-20.666666666666668</v>
      </c>
      <c r="H68">
        <f>MONTH(A:A)</f>
        <v>7</v>
      </c>
    </row>
    <row r="69" spans="1:8">
      <c r="A69" s="1">
        <v>43678</v>
      </c>
      <c r="B69">
        <v>16</v>
      </c>
      <c r="C69" s="6">
        <f t="shared" si="2"/>
        <v>29.583333333333332</v>
      </c>
      <c r="D69" s="6">
        <f t="shared" si="0"/>
        <v>-13.583333333333332</v>
      </c>
      <c r="H69">
        <f>MONTH(A:A)</f>
        <v>8</v>
      </c>
    </row>
    <row r="70" spans="1:8">
      <c r="A70" s="1">
        <v>43709</v>
      </c>
      <c r="B70">
        <v>19</v>
      </c>
      <c r="C70" s="6">
        <f t="shared" si="2"/>
        <v>30.166666666666668</v>
      </c>
      <c r="D70" s="6">
        <f t="shared" si="0"/>
        <v>-11.166666666666668</v>
      </c>
      <c r="H70">
        <f>MONTH(A:A)</f>
        <v>9</v>
      </c>
    </row>
    <row r="71" spans="1:8">
      <c r="A71" s="1">
        <v>43739</v>
      </c>
      <c r="B71">
        <v>21</v>
      </c>
      <c r="C71" s="6">
        <f t="shared" si="2"/>
        <v>30.666666666666668</v>
      </c>
      <c r="D71" s="6">
        <f t="shared" si="0"/>
        <v>-9.6666666666666679</v>
      </c>
      <c r="H71">
        <f>MONTH(A:A)</f>
        <v>10</v>
      </c>
    </row>
    <row r="72" spans="1:8">
      <c r="A72" s="1">
        <v>43770</v>
      </c>
      <c r="B72">
        <v>42</v>
      </c>
      <c r="C72" s="6">
        <f t="shared" si="2"/>
        <v>30.333333333333332</v>
      </c>
      <c r="D72" s="6">
        <f t="shared" si="0"/>
        <v>11.666666666666668</v>
      </c>
      <c r="H72">
        <f>MONTH(A:A)</f>
        <v>11</v>
      </c>
    </row>
    <row r="73" spans="1:8">
      <c r="A73" s="1">
        <v>43800</v>
      </c>
      <c r="B73">
        <v>62</v>
      </c>
      <c r="C73" s="6">
        <f t="shared" ref="C73:C136" si="3">(0.5*B67 + SUM(B68:B78) + 0.5*B79) / 12</f>
        <v>30.291666666666668</v>
      </c>
      <c r="D73" s="6">
        <f t="shared" ref="D73:D136" si="4">B73-C73</f>
        <v>31.708333333333332</v>
      </c>
      <c r="H73">
        <f>MONTH(A:A)</f>
        <v>12</v>
      </c>
    </row>
    <row r="74" spans="1:8">
      <c r="A74" s="1">
        <v>43831</v>
      </c>
      <c r="B74">
        <v>68</v>
      </c>
      <c r="C74" s="6">
        <f t="shared" si="3"/>
        <v>30.375</v>
      </c>
      <c r="D74" s="6">
        <f t="shared" si="4"/>
        <v>37.625</v>
      </c>
      <c r="H74">
        <f>MONTH(A:A)</f>
        <v>1</v>
      </c>
    </row>
    <row r="75" spans="1:8">
      <c r="A75" s="1">
        <v>43862</v>
      </c>
      <c r="B75">
        <v>67</v>
      </c>
      <c r="C75" s="6">
        <f t="shared" si="3"/>
        <v>30.333333333333332</v>
      </c>
      <c r="D75" s="6">
        <f t="shared" si="4"/>
        <v>36.666666666666671</v>
      </c>
      <c r="H75">
        <f>MONTH(A:A)</f>
        <v>2</v>
      </c>
    </row>
    <row r="76" spans="1:8">
      <c r="A76" s="1">
        <v>43891</v>
      </c>
      <c r="B76">
        <v>42</v>
      </c>
      <c r="C76" s="6">
        <f t="shared" si="3"/>
        <v>30.083333333333332</v>
      </c>
      <c r="D76" s="6">
        <f t="shared" si="4"/>
        <v>11.916666666666668</v>
      </c>
      <c r="H76">
        <f>MONTH(A:A)</f>
        <v>3</v>
      </c>
    </row>
    <row r="77" spans="1:8">
      <c r="A77" s="1">
        <v>43922</v>
      </c>
      <c r="B77">
        <v>6</v>
      </c>
      <c r="C77" s="6">
        <f t="shared" si="3"/>
        <v>29.791666666666668</v>
      </c>
      <c r="D77" s="6">
        <f t="shared" si="4"/>
        <v>-23.791666666666668</v>
      </c>
      <c r="H77">
        <f>MONTH(A:A)</f>
        <v>4</v>
      </c>
    </row>
    <row r="78" spans="1:8">
      <c r="A78" s="1">
        <v>43952</v>
      </c>
      <c r="B78">
        <v>5</v>
      </c>
      <c r="C78" s="6">
        <f t="shared" si="3"/>
        <v>29.625</v>
      </c>
      <c r="D78" s="6">
        <f t="shared" si="4"/>
        <v>-24.625</v>
      </c>
      <c r="H78">
        <f>MONTH(A:A)</f>
        <v>5</v>
      </c>
    </row>
    <row r="79" spans="1:8">
      <c r="A79" s="1">
        <v>43983</v>
      </c>
      <c r="B79">
        <v>7</v>
      </c>
      <c r="C79" s="6">
        <f t="shared" si="3"/>
        <v>29.416666666666668</v>
      </c>
      <c r="D79" s="6">
        <f t="shared" si="4"/>
        <v>-22.416666666666668</v>
      </c>
      <c r="H79">
        <f>MONTH(A:A)</f>
        <v>6</v>
      </c>
    </row>
    <row r="80" spans="1:8">
      <c r="A80" s="1">
        <v>44013</v>
      </c>
      <c r="B80">
        <v>10</v>
      </c>
      <c r="C80" s="6">
        <f t="shared" si="3"/>
        <v>30.208333333333332</v>
      </c>
      <c r="D80" s="6">
        <f t="shared" si="4"/>
        <v>-20.208333333333332</v>
      </c>
      <c r="H80">
        <f>MONTH(A:A)</f>
        <v>7</v>
      </c>
    </row>
    <row r="81" spans="1:8">
      <c r="A81" s="1">
        <v>44044</v>
      </c>
      <c r="B81">
        <v>14</v>
      </c>
      <c r="C81" s="6">
        <f t="shared" si="3"/>
        <v>30.75</v>
      </c>
      <c r="D81" s="6">
        <f t="shared" si="4"/>
        <v>-16.75</v>
      </c>
      <c r="H81">
        <f>MONTH(A:A)</f>
        <v>8</v>
      </c>
    </row>
    <row r="82" spans="1:8">
      <c r="A82" s="1">
        <v>44075</v>
      </c>
      <c r="B82">
        <v>15</v>
      </c>
      <c r="C82" s="6">
        <f t="shared" si="3"/>
        <v>29.208333333333332</v>
      </c>
      <c r="D82" s="6">
        <f t="shared" si="4"/>
        <v>-14.208333333333332</v>
      </c>
      <c r="H82">
        <f>MONTH(A:A)</f>
        <v>9</v>
      </c>
    </row>
    <row r="83" spans="1:8">
      <c r="A83" s="1">
        <v>44105</v>
      </c>
      <c r="B83">
        <v>18</v>
      </c>
      <c r="C83" s="6">
        <f t="shared" si="3"/>
        <v>28.041666666666668</v>
      </c>
      <c r="D83" s="6">
        <f t="shared" si="4"/>
        <v>-10.041666666666668</v>
      </c>
      <c r="H83">
        <f>MONTH(A:A)</f>
        <v>10</v>
      </c>
    </row>
    <row r="84" spans="1:8">
      <c r="A84" s="1">
        <v>44136</v>
      </c>
      <c r="B84">
        <v>41</v>
      </c>
      <c r="C84" s="6">
        <f t="shared" si="3"/>
        <v>28.041666666666668</v>
      </c>
      <c r="D84" s="6">
        <f t="shared" si="4"/>
        <v>12.958333333333332</v>
      </c>
      <c r="H84">
        <f>MONTH(A:A)</f>
        <v>11</v>
      </c>
    </row>
    <row r="85" spans="1:8">
      <c r="A85" s="1">
        <v>44166</v>
      </c>
      <c r="B85">
        <v>58</v>
      </c>
      <c r="C85" s="6">
        <f t="shared" si="3"/>
        <v>28</v>
      </c>
      <c r="D85" s="6">
        <f t="shared" si="4"/>
        <v>30</v>
      </c>
      <c r="H85">
        <f>MONTH(A:A)</f>
        <v>12</v>
      </c>
    </row>
    <row r="86" spans="1:8">
      <c r="A86" s="1">
        <v>44197</v>
      </c>
      <c r="B86">
        <v>91</v>
      </c>
      <c r="C86" s="6">
        <f t="shared" si="3"/>
        <v>27.833333333333332</v>
      </c>
      <c r="D86" s="6">
        <f t="shared" si="4"/>
        <v>63.166666666666671</v>
      </c>
      <c r="H86">
        <f>MONTH(A:A)</f>
        <v>1</v>
      </c>
    </row>
    <row r="87" spans="1:8">
      <c r="A87" s="1">
        <v>44228</v>
      </c>
      <c r="B87">
        <v>57</v>
      </c>
      <c r="C87" s="6">
        <f t="shared" si="3"/>
        <v>27.708333333333332</v>
      </c>
      <c r="D87" s="6">
        <f t="shared" si="4"/>
        <v>29.291666666666668</v>
      </c>
      <c r="H87">
        <f>MONTH(A:A)</f>
        <v>2</v>
      </c>
    </row>
    <row r="88" spans="1:8">
      <c r="A88" s="1">
        <v>44256</v>
      </c>
      <c r="B88">
        <v>15</v>
      </c>
      <c r="C88" s="6">
        <f t="shared" si="3"/>
        <v>27.666666666666668</v>
      </c>
      <c r="D88" s="6">
        <f t="shared" si="4"/>
        <v>-12.666666666666668</v>
      </c>
      <c r="H88">
        <f>MONTH(A:A)</f>
        <v>3</v>
      </c>
    </row>
    <row r="89" spans="1:8">
      <c r="A89" s="1">
        <v>44287</v>
      </c>
      <c r="B89">
        <v>5</v>
      </c>
      <c r="C89" s="6">
        <f t="shared" si="3"/>
        <v>27.875</v>
      </c>
      <c r="D89" s="6">
        <f t="shared" si="4"/>
        <v>-22.875</v>
      </c>
      <c r="H89">
        <f>MONTH(A:A)</f>
        <v>4</v>
      </c>
    </row>
    <row r="90" spans="1:8">
      <c r="A90" s="1">
        <v>44317</v>
      </c>
      <c r="B90">
        <v>6</v>
      </c>
      <c r="C90" s="6">
        <f t="shared" si="3"/>
        <v>28.041666666666668</v>
      </c>
      <c r="D90" s="6">
        <f t="shared" si="4"/>
        <v>-22.041666666666668</v>
      </c>
      <c r="H90">
        <f>MONTH(A:A)</f>
        <v>5</v>
      </c>
    </row>
    <row r="91" spans="1:8">
      <c r="A91" s="1">
        <v>44348</v>
      </c>
      <c r="B91">
        <v>5</v>
      </c>
      <c r="C91" s="6">
        <f t="shared" si="3"/>
        <v>29</v>
      </c>
      <c r="D91" s="6">
        <f t="shared" si="4"/>
        <v>-24</v>
      </c>
      <c r="H91">
        <f>MONTH(A:A)</f>
        <v>6</v>
      </c>
    </row>
    <row r="92" spans="1:8">
      <c r="A92" s="1">
        <v>44378</v>
      </c>
      <c r="B92">
        <v>8</v>
      </c>
      <c r="C92" s="6">
        <f t="shared" si="3"/>
        <v>30.375</v>
      </c>
      <c r="D92" s="6">
        <f t="shared" si="4"/>
        <v>-22.375</v>
      </c>
      <c r="H92">
        <f>MONTH(A:A)</f>
        <v>7</v>
      </c>
    </row>
    <row r="93" spans="1:8">
      <c r="A93" s="1">
        <v>44409</v>
      </c>
      <c r="B93">
        <v>13</v>
      </c>
      <c r="C93" s="6">
        <f t="shared" si="3"/>
        <v>31.875</v>
      </c>
      <c r="D93" s="6">
        <f t="shared" si="4"/>
        <v>-18.875</v>
      </c>
      <c r="H93">
        <f>MONTH(A:A)</f>
        <v>8</v>
      </c>
    </row>
    <row r="94" spans="1:8">
      <c r="A94" s="1">
        <v>44440</v>
      </c>
      <c r="B94">
        <v>15</v>
      </c>
      <c r="C94" s="6">
        <f t="shared" si="3"/>
        <v>33.5</v>
      </c>
      <c r="D94" s="6">
        <f t="shared" si="4"/>
        <v>-18.5</v>
      </c>
      <c r="H94">
        <f>MONTH(A:A)</f>
        <v>9</v>
      </c>
    </row>
    <row r="95" spans="1:8">
      <c r="A95" s="1">
        <v>44470</v>
      </c>
      <c r="B95">
        <v>23</v>
      </c>
      <c r="C95" s="6">
        <f t="shared" si="3"/>
        <v>34.25</v>
      </c>
      <c r="D95" s="6">
        <f t="shared" si="4"/>
        <v>-11.25</v>
      </c>
      <c r="H95">
        <f>MONTH(A:A)</f>
        <v>10</v>
      </c>
    </row>
    <row r="96" spans="1:8">
      <c r="A96" s="1">
        <v>44501</v>
      </c>
      <c r="B96">
        <v>40</v>
      </c>
      <c r="C96" s="6">
        <f t="shared" si="3"/>
        <v>34.541666666666664</v>
      </c>
      <c r="D96" s="6">
        <f t="shared" si="4"/>
        <v>5.4583333333333357</v>
      </c>
      <c r="H96">
        <f>MONTH(A:A)</f>
        <v>11</v>
      </c>
    </row>
    <row r="97" spans="1:8">
      <c r="A97" s="1">
        <v>44531</v>
      </c>
      <c r="B97">
        <v>82</v>
      </c>
      <c r="C97" s="6">
        <f t="shared" si="3"/>
        <v>34.625</v>
      </c>
      <c r="D97" s="6">
        <f t="shared" si="4"/>
        <v>47.375</v>
      </c>
      <c r="H97">
        <f>MONTH(A:A)</f>
        <v>12</v>
      </c>
    </row>
    <row r="98" spans="1:8">
      <c r="A98" s="1">
        <v>44562</v>
      </c>
      <c r="B98">
        <v>100</v>
      </c>
      <c r="C98" s="6">
        <f t="shared" si="3"/>
        <v>34.791666666666664</v>
      </c>
      <c r="D98" s="6">
        <f t="shared" si="4"/>
        <v>65.208333333333343</v>
      </c>
      <c r="H98">
        <f>MONTH(A:A)</f>
        <v>1</v>
      </c>
    </row>
    <row r="99" spans="1:8">
      <c r="A99" s="1">
        <v>44593</v>
      </c>
      <c r="B99">
        <v>84</v>
      </c>
      <c r="C99" s="6">
        <f t="shared" si="3"/>
        <v>35</v>
      </c>
      <c r="D99" s="6">
        <f t="shared" si="4"/>
        <v>49</v>
      </c>
      <c r="H99">
        <f>MONTH(A:A)</f>
        <v>2</v>
      </c>
    </row>
    <row r="100" spans="1:8">
      <c r="A100" s="1">
        <v>44621</v>
      </c>
      <c r="B100">
        <v>27</v>
      </c>
      <c r="C100" s="6">
        <f t="shared" si="3"/>
        <v>35.125</v>
      </c>
      <c r="D100" s="6">
        <f t="shared" si="4"/>
        <v>-8.125</v>
      </c>
      <c r="H100">
        <f>MONTH(A:A)</f>
        <v>3</v>
      </c>
    </row>
    <row r="101" spans="1:8">
      <c r="A101" s="1">
        <v>44652</v>
      </c>
      <c r="B101">
        <v>11</v>
      </c>
      <c r="C101" s="6">
        <f t="shared" si="3"/>
        <v>35.083333333333336</v>
      </c>
      <c r="D101" s="6">
        <f t="shared" si="4"/>
        <v>-24.083333333333336</v>
      </c>
      <c r="H101">
        <f>MONTH(A:A)</f>
        <v>4</v>
      </c>
    </row>
    <row r="102" spans="1:8">
      <c r="A102" s="1">
        <v>44682</v>
      </c>
      <c r="B102">
        <v>7</v>
      </c>
      <c r="C102" s="6">
        <f t="shared" si="3"/>
        <v>34.708333333333336</v>
      </c>
      <c r="D102" s="6">
        <f t="shared" si="4"/>
        <v>-27.708333333333336</v>
      </c>
      <c r="H102">
        <f>MONTH(A:A)</f>
        <v>5</v>
      </c>
    </row>
    <row r="103" spans="1:8">
      <c r="A103" s="1">
        <v>44713</v>
      </c>
      <c r="B103">
        <v>6</v>
      </c>
      <c r="C103" s="6">
        <f t="shared" si="3"/>
        <v>33.708333333333336</v>
      </c>
      <c r="D103" s="6">
        <f t="shared" si="4"/>
        <v>-27.708333333333336</v>
      </c>
      <c r="H103">
        <f>MONTH(A:A)</f>
        <v>6</v>
      </c>
    </row>
    <row r="104" spans="1:8">
      <c r="A104" s="1">
        <v>44743</v>
      </c>
      <c r="B104">
        <v>11</v>
      </c>
      <c r="C104" s="6">
        <f t="shared" si="3"/>
        <v>32</v>
      </c>
      <c r="D104" s="6">
        <f t="shared" si="4"/>
        <v>-21</v>
      </c>
      <c r="H104">
        <f>MONTH(A:A)</f>
        <v>7</v>
      </c>
    </row>
    <row r="105" spans="1:8">
      <c r="A105" s="1">
        <v>44774</v>
      </c>
      <c r="B105">
        <v>15</v>
      </c>
      <c r="C105" s="6">
        <f t="shared" si="3"/>
        <v>30.541666666666668</v>
      </c>
      <c r="D105" s="6">
        <f t="shared" si="4"/>
        <v>-15.541666666666668</v>
      </c>
      <c r="H105">
        <f>MONTH(A:A)</f>
        <v>8</v>
      </c>
    </row>
    <row r="106" spans="1:8">
      <c r="A106" s="1">
        <v>44805</v>
      </c>
      <c r="B106">
        <v>16</v>
      </c>
      <c r="C106" s="6">
        <f t="shared" si="3"/>
        <v>29.916666666666668</v>
      </c>
      <c r="D106" s="6">
        <f t="shared" si="4"/>
        <v>-13.916666666666668</v>
      </c>
      <c r="H106">
        <f>MONTH(A:A)</f>
        <v>9</v>
      </c>
    </row>
    <row r="107" spans="1:8">
      <c r="A107" s="1">
        <v>44835</v>
      </c>
      <c r="B107">
        <v>21</v>
      </c>
      <c r="C107" s="6">
        <f t="shared" si="3"/>
        <v>29.708333333333332</v>
      </c>
      <c r="D107" s="6">
        <f t="shared" si="4"/>
        <v>-8.7083333333333321</v>
      </c>
      <c r="H107">
        <f>MONTH(A:A)</f>
        <v>10</v>
      </c>
    </row>
    <row r="108" spans="1:8">
      <c r="A108" s="1">
        <v>44866</v>
      </c>
      <c r="B108">
        <v>33</v>
      </c>
      <c r="C108" s="6">
        <f t="shared" si="3"/>
        <v>29.625</v>
      </c>
      <c r="D108" s="6">
        <f t="shared" si="4"/>
        <v>3.375</v>
      </c>
      <c r="H108">
        <f>MONTH(A:A)</f>
        <v>11</v>
      </c>
    </row>
    <row r="109" spans="1:8">
      <c r="A109" s="1">
        <v>44896</v>
      </c>
      <c r="B109">
        <v>65</v>
      </c>
      <c r="C109" s="6">
        <f t="shared" si="3"/>
        <v>29.583333333333332</v>
      </c>
      <c r="D109" s="6">
        <f t="shared" si="4"/>
        <v>35.416666666666671</v>
      </c>
      <c r="H109">
        <f>MONTH(A:A)</f>
        <v>12</v>
      </c>
    </row>
    <row r="110" spans="1:8">
      <c r="A110" s="1">
        <v>44927</v>
      </c>
      <c r="B110">
        <v>76</v>
      </c>
      <c r="C110" s="6">
        <f t="shared" si="3"/>
        <v>29.541666666666668</v>
      </c>
      <c r="D110" s="6">
        <f t="shared" si="4"/>
        <v>46.458333333333329</v>
      </c>
      <c r="H110">
        <f>MONTH(A:A)</f>
        <v>1</v>
      </c>
    </row>
    <row r="111" spans="1:8">
      <c r="A111" s="1">
        <v>44958</v>
      </c>
      <c r="B111">
        <v>73</v>
      </c>
      <c r="C111" s="6">
        <f t="shared" si="3"/>
        <v>29.458333333333332</v>
      </c>
      <c r="D111" s="6">
        <f t="shared" si="4"/>
        <v>43.541666666666671</v>
      </c>
      <c r="H111">
        <f>MONTH(A:A)</f>
        <v>2</v>
      </c>
    </row>
    <row r="112" spans="1:8">
      <c r="A112" s="1">
        <v>44986</v>
      </c>
      <c r="B112">
        <v>23</v>
      </c>
      <c r="C112" s="6">
        <f t="shared" si="3"/>
        <v>29.416666666666668</v>
      </c>
      <c r="D112" s="6">
        <f t="shared" si="4"/>
        <v>-6.4166666666666679</v>
      </c>
      <c r="H112">
        <f>MONTH(A:A)</f>
        <v>3</v>
      </c>
    </row>
    <row r="113" spans="1:8">
      <c r="A113" s="1">
        <v>45017</v>
      </c>
      <c r="B113">
        <v>10</v>
      </c>
      <c r="C113" s="6">
        <f t="shared" si="3"/>
        <v>29.458333333333332</v>
      </c>
      <c r="D113" s="6">
        <f t="shared" si="4"/>
        <v>-19.458333333333332</v>
      </c>
      <c r="H113">
        <f>MONTH(A:A)</f>
        <v>4</v>
      </c>
    </row>
    <row r="114" spans="1:8">
      <c r="A114" s="1">
        <v>45047</v>
      </c>
      <c r="B114">
        <v>6</v>
      </c>
      <c r="C114" s="6">
        <f t="shared" si="3"/>
        <v>29.666666666666668</v>
      </c>
      <c r="D114" s="6">
        <f t="shared" si="4"/>
        <v>-23.666666666666668</v>
      </c>
      <c r="H114">
        <f>MONTH(A:A)</f>
        <v>5</v>
      </c>
    </row>
    <row r="115" spans="1:8">
      <c r="A115" s="1">
        <v>45078</v>
      </c>
      <c r="B115">
        <v>6</v>
      </c>
      <c r="C115" s="6">
        <f t="shared" si="3"/>
        <v>29.958333333333332</v>
      </c>
      <c r="D115" s="6">
        <f t="shared" si="4"/>
        <v>-23.958333333333332</v>
      </c>
      <c r="H115">
        <f>MONTH(A:A)</f>
        <v>6</v>
      </c>
    </row>
    <row r="116" spans="1:8">
      <c r="A116" s="1">
        <v>45108</v>
      </c>
      <c r="B116">
        <v>10</v>
      </c>
      <c r="C116" s="6">
        <f t="shared" si="3"/>
        <v>30.208333333333332</v>
      </c>
      <c r="D116" s="6">
        <f t="shared" si="4"/>
        <v>-20.208333333333332</v>
      </c>
      <c r="H116">
        <f>MONTH(A:A)</f>
        <v>7</v>
      </c>
    </row>
    <row r="117" spans="1:8">
      <c r="A117" s="1">
        <v>45139</v>
      </c>
      <c r="B117">
        <v>14</v>
      </c>
      <c r="C117" s="6">
        <f t="shared" si="3"/>
        <v>29.541666666666668</v>
      </c>
      <c r="D117" s="6">
        <f t="shared" si="4"/>
        <v>-15.541666666666668</v>
      </c>
      <c r="H117">
        <f>MONTH(A:A)</f>
        <v>8</v>
      </c>
    </row>
    <row r="118" spans="1:8">
      <c r="A118" s="1">
        <v>45170</v>
      </c>
      <c r="B118">
        <v>16</v>
      </c>
      <c r="C118" s="6">
        <f t="shared" si="3"/>
        <v>29</v>
      </c>
      <c r="D118" s="6">
        <f t="shared" si="4"/>
        <v>-13</v>
      </c>
      <c r="H118">
        <f>MONTH(A:A)</f>
        <v>9</v>
      </c>
    </row>
    <row r="119" spans="1:8">
      <c r="A119" s="1">
        <v>45200</v>
      </c>
      <c r="B119">
        <v>22</v>
      </c>
      <c r="C119" s="6">
        <f t="shared" si="3"/>
        <v>29.25</v>
      </c>
      <c r="D119" s="6">
        <f t="shared" si="4"/>
        <v>-7.25</v>
      </c>
      <c r="H119">
        <f>MONTH(A:A)</f>
        <v>10</v>
      </c>
    </row>
    <row r="120" spans="1:8">
      <c r="A120" s="1">
        <v>45231</v>
      </c>
      <c r="B120">
        <v>37</v>
      </c>
      <c r="C120" s="6">
        <f t="shared" si="3"/>
        <v>29.25</v>
      </c>
      <c r="D120" s="6">
        <f t="shared" si="4"/>
        <v>7.75</v>
      </c>
      <c r="H120">
        <f>MONTH(A:A)</f>
        <v>11</v>
      </c>
    </row>
    <row r="121" spans="1:8">
      <c r="A121" s="1">
        <v>45261</v>
      </c>
      <c r="B121">
        <v>68</v>
      </c>
      <c r="C121" s="6">
        <f t="shared" si="3"/>
        <v>29.25</v>
      </c>
      <c r="D121" s="6">
        <f t="shared" si="4"/>
        <v>38.75</v>
      </c>
      <c r="H121">
        <f>MONTH(A:A)</f>
        <v>12</v>
      </c>
    </row>
    <row r="122" spans="1:8">
      <c r="A122" s="1">
        <v>45292</v>
      </c>
      <c r="B122">
        <v>79</v>
      </c>
      <c r="C122" s="6">
        <f t="shared" si="3"/>
        <v>29.208333333333332</v>
      </c>
      <c r="D122" s="6">
        <f t="shared" si="4"/>
        <v>49.791666666666671</v>
      </c>
      <c r="H122">
        <f>MONTH(A:A)</f>
        <v>1</v>
      </c>
    </row>
    <row r="123" spans="1:8">
      <c r="A123" s="1">
        <v>45323</v>
      </c>
      <c r="B123">
        <v>54</v>
      </c>
      <c r="C123" s="6">
        <f t="shared" si="3"/>
        <v>29.166666666666668</v>
      </c>
      <c r="D123" s="6">
        <f t="shared" si="4"/>
        <v>24.833333333333332</v>
      </c>
      <c r="H123">
        <f>MONTH(A:A)</f>
        <v>2</v>
      </c>
    </row>
    <row r="124" spans="1:8">
      <c r="A124" s="1">
        <v>45352</v>
      </c>
      <c r="B124">
        <v>29</v>
      </c>
      <c r="C124" s="6">
        <f t="shared" si="3"/>
        <v>29.25</v>
      </c>
      <c r="D124" s="6">
        <f t="shared" si="4"/>
        <v>-0.25</v>
      </c>
      <c r="H124">
        <f>MONTH(A:A)</f>
        <v>3</v>
      </c>
    </row>
    <row r="125" spans="1:8">
      <c r="A125" s="1">
        <v>45383</v>
      </c>
      <c r="B125">
        <v>10</v>
      </c>
      <c r="C125" s="6">
        <f t="shared" si="3"/>
        <v>29.333333333333332</v>
      </c>
      <c r="D125" s="6">
        <f t="shared" si="4"/>
        <v>-19.333333333333332</v>
      </c>
      <c r="H125">
        <f>MONTH(A:A)</f>
        <v>4</v>
      </c>
    </row>
    <row r="126" spans="1:8">
      <c r="A126" s="1">
        <v>45413</v>
      </c>
      <c r="B126">
        <v>6</v>
      </c>
      <c r="C126" s="6">
        <f t="shared" si="3"/>
        <v>29.208333333333332</v>
      </c>
      <c r="D126" s="6">
        <f t="shared" si="4"/>
        <v>-23.208333333333332</v>
      </c>
      <c r="H126">
        <f>MONTH(A:A)</f>
        <v>5</v>
      </c>
    </row>
    <row r="127" spans="1:8">
      <c r="A127" s="1">
        <v>45444</v>
      </c>
      <c r="B127">
        <v>6</v>
      </c>
      <c r="C127" s="6">
        <f t="shared" si="3"/>
        <v>29.25</v>
      </c>
      <c r="D127" s="6">
        <f t="shared" si="4"/>
        <v>-23.25</v>
      </c>
      <c r="H127">
        <f>MONTH(A:A)</f>
        <v>6</v>
      </c>
    </row>
    <row r="128" spans="1:8">
      <c r="A128" s="1">
        <v>45474</v>
      </c>
      <c r="B128">
        <v>9</v>
      </c>
      <c r="C128" s="6">
        <f t="shared" si="3"/>
        <v>29.041666666666668</v>
      </c>
      <c r="D128" s="6">
        <f t="shared" si="4"/>
        <v>-20.041666666666668</v>
      </c>
      <c r="H128">
        <f>MONTH(A:A)</f>
        <v>7</v>
      </c>
    </row>
    <row r="129" spans="1:8">
      <c r="A129" s="1">
        <v>45505</v>
      </c>
      <c r="B129">
        <v>14</v>
      </c>
      <c r="C129" s="6">
        <f t="shared" si="3"/>
        <v>29.041666666666668</v>
      </c>
      <c r="D129" s="6">
        <f t="shared" si="4"/>
        <v>-15.041666666666668</v>
      </c>
      <c r="H129">
        <f>MONTH(A:A)</f>
        <v>8</v>
      </c>
    </row>
    <row r="130" spans="1:8">
      <c r="A130" s="1">
        <v>45536</v>
      </c>
      <c r="B130">
        <v>18</v>
      </c>
      <c r="C130" s="6">
        <f t="shared" si="3"/>
        <v>29.125</v>
      </c>
      <c r="D130" s="6">
        <f t="shared" si="4"/>
        <v>-11.125</v>
      </c>
      <c r="H130">
        <f>MONTH(A:A)</f>
        <v>9</v>
      </c>
    </row>
    <row r="131" spans="1:8">
      <c r="A131" s="1">
        <v>45566</v>
      </c>
      <c r="B131">
        <v>22</v>
      </c>
      <c r="C131" s="6">
        <f t="shared" si="3"/>
        <v>28.833333333333332</v>
      </c>
      <c r="D131" s="6">
        <f t="shared" si="4"/>
        <v>-6.8333333333333321</v>
      </c>
      <c r="H131">
        <f>MONTH(A:A)</f>
        <v>10</v>
      </c>
    </row>
    <row r="132" spans="1:8">
      <c r="A132" s="1">
        <v>45597</v>
      </c>
      <c r="B132">
        <v>34</v>
      </c>
      <c r="C132" s="6">
        <f t="shared" si="3"/>
        <v>28.833333333333332</v>
      </c>
      <c r="D132" s="6">
        <f t="shared" si="4"/>
        <v>5.1666666666666679</v>
      </c>
      <c r="H132">
        <f>MONTH(A:A)</f>
        <v>11</v>
      </c>
    </row>
    <row r="133" spans="1:8">
      <c r="A133" s="1">
        <v>45627</v>
      </c>
      <c r="B133">
        <v>72</v>
      </c>
      <c r="C133" s="6">
        <f t="shared" si="3"/>
        <v>28.833333333333332</v>
      </c>
      <c r="D133" s="6">
        <f t="shared" si="4"/>
        <v>43.166666666666671</v>
      </c>
      <c r="H133">
        <f>MONTH(A:A)</f>
        <v>12</v>
      </c>
    </row>
    <row r="134" spans="1:8">
      <c r="A134" s="1">
        <v>45658</v>
      </c>
      <c r="B134">
        <v>70</v>
      </c>
      <c r="C134" s="6">
        <f t="shared" si="3"/>
        <v>28.916666666666668</v>
      </c>
      <c r="D134" s="6">
        <f t="shared" si="4"/>
        <v>41.083333333333329</v>
      </c>
      <c r="H134">
        <f>MONTH(A:A)</f>
        <v>1</v>
      </c>
    </row>
    <row r="135" spans="1:8">
      <c r="A135" s="1">
        <v>45689</v>
      </c>
      <c r="B135">
        <v>63</v>
      </c>
      <c r="C135" s="6">
        <f t="shared" si="3"/>
        <v>29.125</v>
      </c>
      <c r="D135" s="6">
        <f t="shared" si="4"/>
        <v>33.875</v>
      </c>
      <c r="H135">
        <f>MONTH(A:A)</f>
        <v>2</v>
      </c>
    </row>
    <row r="136" spans="1:8">
      <c r="A136" s="1">
        <v>45717</v>
      </c>
      <c r="B136">
        <v>22</v>
      </c>
      <c r="C136" s="6">
        <f t="shared" si="3"/>
        <v>29.25</v>
      </c>
      <c r="D136" s="6">
        <f t="shared" si="4"/>
        <v>-7.25</v>
      </c>
      <c r="H136">
        <f>MONTH(A:A)</f>
        <v>3</v>
      </c>
    </row>
    <row r="137" spans="1:8">
      <c r="A137" s="1">
        <v>45748</v>
      </c>
      <c r="B137">
        <v>10</v>
      </c>
      <c r="C137" s="6">
        <f t="shared" ref="C137:C139" si="5">(0.5*B131 + SUM(B132:B142) + 0.5*B143) / 12</f>
        <v>29.25</v>
      </c>
      <c r="D137" s="6">
        <f t="shared" ref="D137:D139" si="6">B137-C137</f>
        <v>-19.25</v>
      </c>
      <c r="H137">
        <f>MONTH(A:A)</f>
        <v>4</v>
      </c>
    </row>
    <row r="138" spans="1:8">
      <c r="A138" s="1">
        <v>45778</v>
      </c>
      <c r="B138">
        <v>6</v>
      </c>
      <c r="C138" s="6">
        <f t="shared" si="5"/>
        <v>29.458333333333332</v>
      </c>
      <c r="D138" s="6">
        <f t="shared" si="6"/>
        <v>-23.458333333333332</v>
      </c>
      <c r="H138">
        <f>MONTH(A:A)</f>
        <v>5</v>
      </c>
    </row>
    <row r="139" spans="1:8">
      <c r="A139" s="1">
        <v>45809</v>
      </c>
      <c r="B139">
        <v>6</v>
      </c>
      <c r="C139" s="6">
        <f t="shared" si="5"/>
        <v>29.333333333333332</v>
      </c>
      <c r="D139" s="6">
        <f t="shared" si="6"/>
        <v>-23.333333333333332</v>
      </c>
      <c r="H139">
        <f>MONTH(A:A)</f>
        <v>6</v>
      </c>
    </row>
    <row r="140" spans="1:8">
      <c r="A140" s="1">
        <v>45839</v>
      </c>
      <c r="B140">
        <v>11</v>
      </c>
      <c r="H140">
        <f>MONTH(A:A)</f>
        <v>7</v>
      </c>
    </row>
    <row r="141" spans="1:8">
      <c r="A141" s="1">
        <v>45870</v>
      </c>
      <c r="B141">
        <v>17</v>
      </c>
      <c r="H141">
        <f>MONTH(A:A)</f>
        <v>8</v>
      </c>
    </row>
    <row r="142" spans="1:8">
      <c r="A142" s="1">
        <v>45901</v>
      </c>
      <c r="B142">
        <v>18</v>
      </c>
      <c r="H142">
        <f>MONTH(A:A)</f>
        <v>9</v>
      </c>
    </row>
    <row r="143" spans="1:8">
      <c r="A143" s="1">
        <v>45931</v>
      </c>
      <c r="B143">
        <v>22</v>
      </c>
      <c r="H143">
        <f>MONTH(A:A)</f>
        <v>10</v>
      </c>
    </row>
    <row r="144" spans="1:8">
      <c r="A144" s="1">
        <v>45962</v>
      </c>
      <c r="B144">
        <v>39</v>
      </c>
      <c r="H144">
        <f>MONTH(A:A)</f>
        <v>11</v>
      </c>
    </row>
    <row r="145" spans="1:8">
      <c r="A145" s="1">
        <v>45992</v>
      </c>
      <c r="B145">
        <v>64</v>
      </c>
      <c r="H145">
        <f>MONTH(A:A)</f>
        <v>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dataset</vt:lpstr>
      <vt:lpstr>moyenne 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CYTech Student</dc:creator>
  <cp:lastModifiedBy>lauraine kenfack</cp:lastModifiedBy>
  <dcterms:created xsi:type="dcterms:W3CDTF">2015-06-05T18:17:20Z</dcterms:created>
  <dcterms:modified xsi:type="dcterms:W3CDTF">2026-04-07T11:35:58Z</dcterms:modified>
</cp:coreProperties>
</file>